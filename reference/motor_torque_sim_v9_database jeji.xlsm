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ninjeji\Desktop\Personal\"/>
    </mc:Choice>
  </mc:AlternateContent>
  <xr:revisionPtr revIDLastSave="0" documentId="13_ncr:1_{265F9C66-1729-4A57-B3F8-CD2550593395}" xr6:coauthVersionLast="47" xr6:coauthVersionMax="47" xr10:uidLastSave="{00000000-0000-0000-0000-000000000000}"/>
  <bookViews>
    <workbookView xWindow="-120" yWindow="-120" windowWidth="38640" windowHeight="21240" firstSheet="1" activeTab="1" xr2:uid="{4E23AFD2-F618-43A8-B47B-65FFC6E642DF}"/>
  </bookViews>
  <sheets>
    <sheet name="Power (2)" sheetId="33" state="hidden" r:id="rId1"/>
    <sheet name="Gantry 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Motor Example Chart" sheetId="35" r:id="rId7"/>
    <sheet name="Flow Calculator" sheetId="36" r:id="rId8"/>
    <sheet name="Acc Calculator" sheetId="38" r:id="rId9"/>
    <sheet name="Acc and Deacc" sheetId="39" r:id="rId10"/>
    <sheet name="Chart1" sheetId="4" state="hidden" r:id="rId11"/>
  </sheets>
  <functionGroups builtInGroupCount="19"/>
  <definedNames>
    <definedName name="_xlnm._FilterDatabase" localSheetId="4" hidden="1">'Motor Database'!$A$2:$M$53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30" l="1"/>
  <c r="AH103" i="30" s="1"/>
  <c r="B7" i="36"/>
  <c r="B9" i="36" s="1"/>
  <c r="I15" i="30"/>
  <c r="P5" i="38"/>
  <c r="P6" i="38" s="1"/>
  <c r="P7" i="38" s="1"/>
  <c r="P8" i="38" s="1"/>
  <c r="P9" i="38" s="1"/>
  <c r="Q5" i="38"/>
  <c r="Q6" i="38" s="1"/>
  <c r="R5" i="38"/>
  <c r="R6" i="38" s="1"/>
  <c r="R7" i="38" s="1"/>
  <c r="R8" i="38" s="1"/>
  <c r="R9" i="38" s="1"/>
  <c r="R10" i="38" s="1"/>
  <c r="R11" i="38" s="1"/>
  <c r="R12" i="38" s="1"/>
  <c r="R13" i="38" s="1"/>
  <c r="R14" i="38" s="1"/>
  <c r="R15" i="38" s="1"/>
  <c r="R16" i="38" s="1"/>
  <c r="R17" i="38" s="1"/>
  <c r="R18" i="38" s="1"/>
  <c r="R19" i="38" s="1"/>
  <c r="Q7" i="38"/>
  <c r="Q8" i="38" s="1"/>
  <c r="Q9" i="38" s="1"/>
  <c r="Q10" i="38" s="1"/>
  <c r="Q11" i="38" s="1"/>
  <c r="P10" i="38"/>
  <c r="P11" i="38" s="1"/>
  <c r="P12" i="38" s="1"/>
  <c r="P13" i="38" s="1"/>
  <c r="P14" i="38" s="1"/>
  <c r="P15" i="38" s="1"/>
  <c r="P16" i="38" s="1"/>
  <c r="P17" i="38" s="1"/>
  <c r="P18" i="38" s="1"/>
  <c r="P19" i="38" s="1"/>
  <c r="P20" i="38" s="1"/>
  <c r="P21" i="38" s="1"/>
  <c r="P22" i="38" s="1"/>
  <c r="Q12" i="38"/>
  <c r="Q13" i="38" s="1"/>
  <c r="Q14" i="38" s="1"/>
  <c r="Q15" i="38" s="1"/>
  <c r="Q16" i="38" s="1"/>
  <c r="Q17" i="38" s="1"/>
  <c r="Q18" i="38" s="1"/>
  <c r="Q19" i="38" s="1"/>
  <c r="Q20" i="38" s="1"/>
  <c r="Q21" i="38" s="1"/>
  <c r="Q22" i="38" s="1"/>
  <c r="Q23" i="38" s="1"/>
  <c r="Q24" i="38" s="1"/>
  <c r="Q25" i="38" s="1"/>
  <c r="Q26" i="38" s="1"/>
  <c r="Q27" i="38" s="1"/>
  <c r="Q28" i="38" s="1"/>
  <c r="Q29" i="38" s="1"/>
  <c r="Q30" i="38" s="1"/>
  <c r="Q31" i="38" s="1"/>
  <c r="Q32" i="38" s="1"/>
  <c r="Q33" i="38" s="1"/>
  <c r="Q34" i="38" s="1"/>
  <c r="Q35" i="38" s="1"/>
  <c r="Q36" i="38" s="1"/>
  <c r="Q37" i="38" s="1"/>
  <c r="Q38" i="38" s="1"/>
  <c r="Q39" i="38" s="1"/>
  <c r="Q40" i="38" s="1"/>
  <c r="Q41" i="38" s="1"/>
  <c r="Q42" i="38" s="1"/>
  <c r="Q43" i="38" s="1"/>
  <c r="Q44" i="38" s="1"/>
  <c r="Q45" i="38" s="1"/>
  <c r="Q46" i="38" s="1"/>
  <c r="Q47" i="38" s="1"/>
  <c r="Q48" i="38" s="1"/>
  <c r="Q49" i="38" s="1"/>
  <c r="Q50" i="38" s="1"/>
  <c r="Q51" i="38" s="1"/>
  <c r="Q52" i="38" s="1"/>
  <c r="Q53" i="38" s="1"/>
  <c r="Q54" i="38" s="1"/>
  <c r="Q55" i="38" s="1"/>
  <c r="Q56" i="38" s="1"/>
  <c r="Q57" i="38" s="1"/>
  <c r="Q58" i="38" s="1"/>
  <c r="Q59" i="38" s="1"/>
  <c r="Q60" i="38" s="1"/>
  <c r="Q61" i="38" s="1"/>
  <c r="Q62" i="38" s="1"/>
  <c r="Q63" i="38" s="1"/>
  <c r="Q64" i="38" s="1"/>
  <c r="Q65" i="38" s="1"/>
  <c r="Q66" i="38" s="1"/>
  <c r="Q67" i="38" s="1"/>
  <c r="Q68" i="38" s="1"/>
  <c r="Q69" i="38" s="1"/>
  <c r="Q70" i="38" s="1"/>
  <c r="Q71" i="38" s="1"/>
  <c r="Q72" i="38" s="1"/>
  <c r="Q73" i="38" s="1"/>
  <c r="Q74" i="38" s="1"/>
  <c r="Q75" i="38" s="1"/>
  <c r="Q76" i="38" s="1"/>
  <c r="Q77" i="38" s="1"/>
  <c r="Q78" i="38" s="1"/>
  <c r="Q79" i="38" s="1"/>
  <c r="Q80" i="38" s="1"/>
  <c r="Q81" i="38" s="1"/>
  <c r="Q82" i="38" s="1"/>
  <c r="Q83" i="38" s="1"/>
  <c r="Q84" i="38" s="1"/>
  <c r="Q85" i="38" s="1"/>
  <c r="Q86" i="38" s="1"/>
  <c r="Q87" i="38" s="1"/>
  <c r="Q88" i="38" s="1"/>
  <c r="Q89" i="38" s="1"/>
  <c r="Q90" i="38" s="1"/>
  <c r="Q91" i="38" s="1"/>
  <c r="Q92" i="38" s="1"/>
  <c r="Q93" i="38" s="1"/>
  <c r="Q94" i="38" s="1"/>
  <c r="Q95" i="38" s="1"/>
  <c r="Q96" i="38" s="1"/>
  <c r="Q97" i="38" s="1"/>
  <c r="Q98" i="38" s="1"/>
  <c r="Q99" i="38" s="1"/>
  <c r="Q100" i="38" s="1"/>
  <c r="Q101" i="38" s="1"/>
  <c r="Q102" i="38" s="1"/>
  <c r="Q103" i="38" s="1"/>
  <c r="Q104" i="38" s="1"/>
  <c r="Q105" i="38" s="1"/>
  <c r="Q106" i="38" s="1"/>
  <c r="Q107" i="38" s="1"/>
  <c r="Q108" i="38" s="1"/>
  <c r="Q109" i="38" s="1"/>
  <c r="Q110" i="38" s="1"/>
  <c r="Q111" i="38" s="1"/>
  <c r="Q112" i="38" s="1"/>
  <c r="Q113" i="38" s="1"/>
  <c r="Q114" i="38" s="1"/>
  <c r="Q115" i="38" s="1"/>
  <c r="Q116" i="38" s="1"/>
  <c r="Q117" i="38" s="1"/>
  <c r="Q118" i="38" s="1"/>
  <c r="Q119" i="38" s="1"/>
  <c r="Q120" i="38" s="1"/>
  <c r="Q121" i="38" s="1"/>
  <c r="Q122" i="38" s="1"/>
  <c r="Q123" i="38" s="1"/>
  <c r="Q124" i="38" s="1"/>
  <c r="Q125" i="38" s="1"/>
  <c r="Q126" i="38" s="1"/>
  <c r="Q127" i="38" s="1"/>
  <c r="Q128" i="38" s="1"/>
  <c r="Q129" i="38" s="1"/>
  <c r="Q130" i="38" s="1"/>
  <c r="Q131" i="38" s="1"/>
  <c r="Q132" i="38" s="1"/>
  <c r="Q133" i="38" s="1"/>
  <c r="Q134" i="38" s="1"/>
  <c r="Q135" i="38" s="1"/>
  <c r="Q136" i="38" s="1"/>
  <c r="Q137" i="38" s="1"/>
  <c r="Q138" i="38" s="1"/>
  <c r="Q139" i="38" s="1"/>
  <c r="Q140" i="38" s="1"/>
  <c r="Q141" i="38" s="1"/>
  <c r="Q142" i="38" s="1"/>
  <c r="Q143" i="38" s="1"/>
  <c r="Q144" i="38" s="1"/>
  <c r="Q145" i="38" s="1"/>
  <c r="Q146" i="38" s="1"/>
  <c r="Q147" i="38" s="1"/>
  <c r="Q148" i="38" s="1"/>
  <c r="Q149" i="38" s="1"/>
  <c r="Q150" i="38" s="1"/>
  <c r="Q151" i="38" s="1"/>
  <c r="Q152" i="38" s="1"/>
  <c r="Q153" i="38" s="1"/>
  <c r="Q154" i="38" s="1"/>
  <c r="Q155" i="38" s="1"/>
  <c r="Q156" i="38" s="1"/>
  <c r="Q157" i="38" s="1"/>
  <c r="Q158" i="38" s="1"/>
  <c r="Q159" i="38" s="1"/>
  <c r="Q160" i="38" s="1"/>
  <c r="Q161" i="38" s="1"/>
  <c r="Q162" i="38" s="1"/>
  <c r="Q163" i="38" s="1"/>
  <c r="Q164" i="38" s="1"/>
  <c r="Q165" i="38" s="1"/>
  <c r="Q166" i="38" s="1"/>
  <c r="Q167" i="38" s="1"/>
  <c r="Q168" i="38" s="1"/>
  <c r="Q169" i="38" s="1"/>
  <c r="Q170" i="38" s="1"/>
  <c r="Q171" i="38" s="1"/>
  <c r="Q172" i="38" s="1"/>
  <c r="Q173" i="38" s="1"/>
  <c r="Q174" i="38" s="1"/>
  <c r="Q175" i="38" s="1"/>
  <c r="Q176" i="38" s="1"/>
  <c r="Q177" i="38" s="1"/>
  <c r="Q178" i="38" s="1"/>
  <c r="Q179" i="38" s="1"/>
  <c r="Q180" i="38" s="1"/>
  <c r="Q181" i="38" s="1"/>
  <c r="Q182" i="38" s="1"/>
  <c r="Q183" i="38" s="1"/>
  <c r="Q184" i="38" s="1"/>
  <c r="Q185" i="38" s="1"/>
  <c r="Q186" i="38" s="1"/>
  <c r="Q187" i="38" s="1"/>
  <c r="Q188" i="38" s="1"/>
  <c r="Q189" i="38" s="1"/>
  <c r="Q190" i="38" s="1"/>
  <c r="Q191" i="38" s="1"/>
  <c r="Q192" i="38" s="1"/>
  <c r="Q193" i="38" s="1"/>
  <c r="Q194" i="38" s="1"/>
  <c r="Q195" i="38" s="1"/>
  <c r="Q196" i="38" s="1"/>
  <c r="Q197" i="38" s="1"/>
  <c r="Q198" i="38" s="1"/>
  <c r="Q199" i="38" s="1"/>
  <c r="Q200" i="38" s="1"/>
  <c r="Q201" i="38" s="1"/>
  <c r="Q202" i="38" s="1"/>
  <c r="Q203" i="38" s="1"/>
  <c r="Q204" i="38" s="1"/>
  <c r="Q205" i="38" s="1"/>
  <c r="Q206" i="38" s="1"/>
  <c r="Q207" i="38" s="1"/>
  <c r="Q208" i="38" s="1"/>
  <c r="Q209" i="38" s="1"/>
  <c r="Q210" i="38" s="1"/>
  <c r="Q211" i="38" s="1"/>
  <c r="Q212" i="38" s="1"/>
  <c r="Q213" i="38" s="1"/>
  <c r="Q214" i="38" s="1"/>
  <c r="Q215" i="38" s="1"/>
  <c r="Q216" i="38" s="1"/>
  <c r="Q217" i="38" s="1"/>
  <c r="Q218" i="38" s="1"/>
  <c r="Q219" i="38" s="1"/>
  <c r="Q220" i="38" s="1"/>
  <c r="Q221" i="38" s="1"/>
  <c r="Q222" i="38" s="1"/>
  <c r="Q223" i="38" s="1"/>
  <c r="Q224" i="38" s="1"/>
  <c r="Q225" i="38" s="1"/>
  <c r="Q226" i="38" s="1"/>
  <c r="Q227" i="38" s="1"/>
  <c r="Q228" i="38" s="1"/>
  <c r="Q229" i="38" s="1"/>
  <c r="Q230" i="38" s="1"/>
  <c r="Q231" i="38" s="1"/>
  <c r="Q232" i="38" s="1"/>
  <c r="Q233" i="38" s="1"/>
  <c r="Q234" i="38" s="1"/>
  <c r="Q235" i="38" s="1"/>
  <c r="Q236" i="38" s="1"/>
  <c r="Q237" i="38" s="1"/>
  <c r="Q238" i="38" s="1"/>
  <c r="Q239" i="38" s="1"/>
  <c r="Q240" i="38" s="1"/>
  <c r="Q241" i="38" s="1"/>
  <c r="Q242" i="38" s="1"/>
  <c r="Q243" i="38" s="1"/>
  <c r="Q244" i="38" s="1"/>
  <c r="Q245" i="38" s="1"/>
  <c r="Q246" i="38" s="1"/>
  <c r="Q247" i="38" s="1"/>
  <c r="Q248" i="38" s="1"/>
  <c r="Q249" i="38" s="1"/>
  <c r="Q250" i="38" s="1"/>
  <c r="Q251" i="38" s="1"/>
  <c r="Q252" i="38" s="1"/>
  <c r="Q253" i="38" s="1"/>
  <c r="Q254" i="38" s="1"/>
  <c r="Q255" i="38" s="1"/>
  <c r="Q256" i="38" s="1"/>
  <c r="Q257" i="38" s="1"/>
  <c r="Q258" i="38" s="1"/>
  <c r="Q259" i="38" s="1"/>
  <c r="Q260" i="38" s="1"/>
  <c r="Q261" i="38" s="1"/>
  <c r="Q262" i="38" s="1"/>
  <c r="Q263" i="38" s="1"/>
  <c r="Q264" i="38" s="1"/>
  <c r="Q265" i="38" s="1"/>
  <c r="Q266" i="38" s="1"/>
  <c r="Q267" i="38" s="1"/>
  <c r="Q268" i="38" s="1"/>
  <c r="Q269" i="38" s="1"/>
  <c r="Q270" i="38" s="1"/>
  <c r="Q271" i="38" s="1"/>
  <c r="Q272" i="38" s="1"/>
  <c r="Q273" i="38" s="1"/>
  <c r="Q274" i="38" s="1"/>
  <c r="Q275" i="38" s="1"/>
  <c r="Q276" i="38" s="1"/>
  <c r="Q277" i="38" s="1"/>
  <c r="Q278" i="38" s="1"/>
  <c r="Q279" i="38" s="1"/>
  <c r="Q280" i="38" s="1"/>
  <c r="Q281" i="38" s="1"/>
  <c r="Q282" i="38" s="1"/>
  <c r="Q283" i="38" s="1"/>
  <c r="Q284" i="38" s="1"/>
  <c r="Q285" i="38" s="1"/>
  <c r="Q286" i="38" s="1"/>
  <c r="Q287" i="38" s="1"/>
  <c r="Q288" i="38" s="1"/>
  <c r="Q289" i="38" s="1"/>
  <c r="Q290" i="38" s="1"/>
  <c r="Q291" i="38" s="1"/>
  <c r="Q292" i="38" s="1"/>
  <c r="Q293" i="38" s="1"/>
  <c r="Q294" i="38" s="1"/>
  <c r="Q295" i="38" s="1"/>
  <c r="Q296" i="38" s="1"/>
  <c r="Q297" i="38" s="1"/>
  <c r="Q298" i="38" s="1"/>
  <c r="Q299" i="38" s="1"/>
  <c r="Q300" i="38" s="1"/>
  <c r="Q301" i="38" s="1"/>
  <c r="Q302" i="38" s="1"/>
  <c r="Q303" i="38" s="1"/>
  <c r="Q304" i="38" s="1"/>
  <c r="Q305" i="38" s="1"/>
  <c r="Q306" i="38" s="1"/>
  <c r="Q307" i="38" s="1"/>
  <c r="Q308" i="38" s="1"/>
  <c r="Q309" i="38" s="1"/>
  <c r="Q310" i="38" s="1"/>
  <c r="Q311" i="38" s="1"/>
  <c r="Q312" i="38" s="1"/>
  <c r="Q313" i="38" s="1"/>
  <c r="Q314" i="38" s="1"/>
  <c r="Q315" i="38" s="1"/>
  <c r="Q316" i="38" s="1"/>
  <c r="Q317" i="38" s="1"/>
  <c r="Q318" i="38" s="1"/>
  <c r="Q319" i="38" s="1"/>
  <c r="Q320" i="38" s="1"/>
  <c r="Q321" i="38" s="1"/>
  <c r="Q322" i="38" s="1"/>
  <c r="Q323" i="38" s="1"/>
  <c r="Q324" i="38" s="1"/>
  <c r="Q325" i="38" s="1"/>
  <c r="Q326" i="38" s="1"/>
  <c r="Q327" i="38" s="1"/>
  <c r="Q328" i="38" s="1"/>
  <c r="Q329" i="38" s="1"/>
  <c r="Q330" i="38" s="1"/>
  <c r="Q331" i="38" s="1"/>
  <c r="Q332" i="38" s="1"/>
  <c r="Q333" i="38" s="1"/>
  <c r="Q334" i="38" s="1"/>
  <c r="Q335" i="38" s="1"/>
  <c r="Q336" i="38" s="1"/>
  <c r="Q337" i="38" s="1"/>
  <c r="Q338" i="38" s="1"/>
  <c r="Q339" i="38" s="1"/>
  <c r="Q340" i="38" s="1"/>
  <c r="Q341" i="38" s="1"/>
  <c r="Q342" i="38" s="1"/>
  <c r="Q343" i="38" s="1"/>
  <c r="Q344" i="38" s="1"/>
  <c r="Q345" i="38" s="1"/>
  <c r="Q346" i="38" s="1"/>
  <c r="Q347" i="38" s="1"/>
  <c r="Q348" i="38" s="1"/>
  <c r="Q349" i="38" s="1"/>
  <c r="Q350" i="38" s="1"/>
  <c r="Q351" i="38" s="1"/>
  <c r="Q352" i="38" s="1"/>
  <c r="Q353" i="38" s="1"/>
  <c r="Q354" i="38" s="1"/>
  <c r="Q355" i="38" s="1"/>
  <c r="Q356" i="38" s="1"/>
  <c r="Q357" i="38" s="1"/>
  <c r="Q358" i="38" s="1"/>
  <c r="Q359" i="38" s="1"/>
  <c r="Q360" i="38" s="1"/>
  <c r="Q361" i="38" s="1"/>
  <c r="Q362" i="38" s="1"/>
  <c r="Q363" i="38" s="1"/>
  <c r="Q364" i="38" s="1"/>
  <c r="Q365" i="38" s="1"/>
  <c r="Q366" i="38" s="1"/>
  <c r="Q367" i="38" s="1"/>
  <c r="Q368" i="38" s="1"/>
  <c r="Q369" i="38" s="1"/>
  <c r="Q370" i="38" s="1"/>
  <c r="Q371" i="38" s="1"/>
  <c r="Q372" i="38" s="1"/>
  <c r="Q373" i="38" s="1"/>
  <c r="Q374" i="38" s="1"/>
  <c r="Q375" i="38" s="1"/>
  <c r="Q376" i="38" s="1"/>
  <c r="Q377" i="38" s="1"/>
  <c r="Q378" i="38" s="1"/>
  <c r="Q379" i="38" s="1"/>
  <c r="Q380" i="38" s="1"/>
  <c r="Q381" i="38" s="1"/>
  <c r="Q382" i="38" s="1"/>
  <c r="Q383" i="38" s="1"/>
  <c r="Q384" i="38" s="1"/>
  <c r="Q385" i="38" s="1"/>
  <c r="Q386" i="38" s="1"/>
  <c r="Q387" i="38" s="1"/>
  <c r="Q388" i="38" s="1"/>
  <c r="Q389" i="38" s="1"/>
  <c r="Q390" i="38" s="1"/>
  <c r="Q391" i="38" s="1"/>
  <c r="Q392" i="38" s="1"/>
  <c r="Q393" i="38" s="1"/>
  <c r="Q394" i="38" s="1"/>
  <c r="Q395" i="38" s="1"/>
  <c r="Q396" i="38" s="1"/>
  <c r="Q397" i="38" s="1"/>
  <c r="Q398" i="38" s="1"/>
  <c r="Q399" i="38" s="1"/>
  <c r="Q400" i="38" s="1"/>
  <c r="Q401" i="38" s="1"/>
  <c r="Q402" i="38" s="1"/>
  <c r="Q403" i="38" s="1"/>
  <c r="Q404" i="38" s="1"/>
  <c r="Q405" i="38" s="1"/>
  <c r="Q406" i="38" s="1"/>
  <c r="Q407" i="38" s="1"/>
  <c r="Q408" i="38" s="1"/>
  <c r="Q409" i="38" s="1"/>
  <c r="Q410" i="38" s="1"/>
  <c r="Q411" i="38" s="1"/>
  <c r="Q412" i="38" s="1"/>
  <c r="Q413" i="38" s="1"/>
  <c r="Q414" i="38" s="1"/>
  <c r="Q415" i="38" s="1"/>
  <c r="Q416" i="38" s="1"/>
  <c r="Q417" i="38" s="1"/>
  <c r="Q418" i="38" s="1"/>
  <c r="Q419" i="38" s="1"/>
  <c r="Q420" i="38" s="1"/>
  <c r="Q421" i="38" s="1"/>
  <c r="Q422" i="38" s="1"/>
  <c r="Q423" i="38" s="1"/>
  <c r="Q424" i="38" s="1"/>
  <c r="Q425" i="38" s="1"/>
  <c r="Q426" i="38" s="1"/>
  <c r="Q427" i="38" s="1"/>
  <c r="Q428" i="38" s="1"/>
  <c r="Q429" i="38" s="1"/>
  <c r="Q430" i="38" s="1"/>
  <c r="Q431" i="38" s="1"/>
  <c r="Q432" i="38" s="1"/>
  <c r="Q433" i="38" s="1"/>
  <c r="Q434" i="38" s="1"/>
  <c r="Q435" i="38" s="1"/>
  <c r="Q436" i="38" s="1"/>
  <c r="Q437" i="38" s="1"/>
  <c r="Q438" i="38" s="1"/>
  <c r="Q439" i="38" s="1"/>
  <c r="Q440" i="38" s="1"/>
  <c r="Q441" i="38" s="1"/>
  <c r="Q442" i="38" s="1"/>
  <c r="Q443" i="38" s="1"/>
  <c r="Q444" i="38" s="1"/>
  <c r="Q445" i="38" s="1"/>
  <c r="Q446" i="38" s="1"/>
  <c r="Q447" i="38" s="1"/>
  <c r="Q448" i="38" s="1"/>
  <c r="Q449" i="38" s="1"/>
  <c r="Q450" i="38" s="1"/>
  <c r="Q451" i="38" s="1"/>
  <c r="Q452" i="38" s="1"/>
  <c r="Q453" i="38" s="1"/>
  <c r="Q454" i="38" s="1"/>
  <c r="Q455" i="38" s="1"/>
  <c r="Q456" i="38" s="1"/>
  <c r="Q457" i="38" s="1"/>
  <c r="Q458" i="38" s="1"/>
  <c r="Q459" i="38" s="1"/>
  <c r="Q460" i="38" s="1"/>
  <c r="Q461" i="38" s="1"/>
  <c r="Q462" i="38" s="1"/>
  <c r="Q463" i="38" s="1"/>
  <c r="Q464" i="38" s="1"/>
  <c r="Q465" i="38" s="1"/>
  <c r="Q466" i="38" s="1"/>
  <c r="Q467" i="38" s="1"/>
  <c r="Q468" i="38" s="1"/>
  <c r="Q469" i="38" s="1"/>
  <c r="Q470" i="38" s="1"/>
  <c r="Q471" i="38" s="1"/>
  <c r="Q472" i="38" s="1"/>
  <c r="Q473" i="38" s="1"/>
  <c r="Q474" i="38" s="1"/>
  <c r="Q475" i="38" s="1"/>
  <c r="Q476" i="38" s="1"/>
  <c r="Q477" i="38" s="1"/>
  <c r="Q478" i="38" s="1"/>
  <c r="Q479" i="38" s="1"/>
  <c r="Q480" i="38" s="1"/>
  <c r="Q481" i="38" s="1"/>
  <c r="Q482" i="38" s="1"/>
  <c r="Q483" i="38" s="1"/>
  <c r="Q484" i="38" s="1"/>
  <c r="Q485" i="38" s="1"/>
  <c r="Q486" i="38" s="1"/>
  <c r="Q487" i="38" s="1"/>
  <c r="Q488" i="38" s="1"/>
  <c r="Q489" i="38" s="1"/>
  <c r="Q490" i="38" s="1"/>
  <c r="Q491" i="38" s="1"/>
  <c r="Q492" i="38" s="1"/>
  <c r="Q493" i="38" s="1"/>
  <c r="Q494" i="38" s="1"/>
  <c r="Q495" i="38" s="1"/>
  <c r="Q496" i="38" s="1"/>
  <c r="Q497" i="38" s="1"/>
  <c r="Q498" i="38" s="1"/>
  <c r="Q499" i="38" s="1"/>
  <c r="Q500" i="38" s="1"/>
  <c r="Q501" i="38" s="1"/>
  <c r="Q502" i="38" s="1"/>
  <c r="Q503" i="38" s="1"/>
  <c r="Q504" i="38" s="1"/>
  <c r="Q505" i="38" s="1"/>
  <c r="Q506" i="38" s="1"/>
  <c r="Q507" i="38" s="1"/>
  <c r="Q508" i="38" s="1"/>
  <c r="Q509" i="38" s="1"/>
  <c r="Q510" i="38" s="1"/>
  <c r="Q511" i="38" s="1"/>
  <c r="Q512" i="38" s="1"/>
  <c r="Q513" i="38" s="1"/>
  <c r="Q514" i="38" s="1"/>
  <c r="Q515" i="38" s="1"/>
  <c r="Q516" i="38" s="1"/>
  <c r="Q517" i="38" s="1"/>
  <c r="Q518" i="38" s="1"/>
  <c r="Q519" i="38" s="1"/>
  <c r="Q520" i="38" s="1"/>
  <c r="Q521" i="38" s="1"/>
  <c r="Q522" i="38" s="1"/>
  <c r="Q523" i="38" s="1"/>
  <c r="R20" i="38"/>
  <c r="R21" i="38" s="1"/>
  <c r="R22" i="38" s="1"/>
  <c r="R23" i="38" s="1"/>
  <c r="R24" i="38" s="1"/>
  <c r="R25" i="38" s="1"/>
  <c r="R26" i="38" s="1"/>
  <c r="R27" i="38" s="1"/>
  <c r="R28" i="38" s="1"/>
  <c r="R29" i="38" s="1"/>
  <c r="R30" i="38" s="1"/>
  <c r="R31" i="38" s="1"/>
  <c r="R32" i="38" s="1"/>
  <c r="R33" i="38" s="1"/>
  <c r="R34" i="38" s="1"/>
  <c r="R35" i="38" s="1"/>
  <c r="R36" i="38" s="1"/>
  <c r="R37" i="38" s="1"/>
  <c r="R38" i="38" s="1"/>
  <c r="R39" i="38" s="1"/>
  <c r="R40" i="38" s="1"/>
  <c r="R41" i="38" s="1"/>
  <c r="R42" i="38" s="1"/>
  <c r="R43" i="38" s="1"/>
  <c r="R44" i="38" s="1"/>
  <c r="R45" i="38" s="1"/>
  <c r="R46" i="38" s="1"/>
  <c r="R47" i="38" s="1"/>
  <c r="R48" i="38" s="1"/>
  <c r="R49" i="38" s="1"/>
  <c r="R50" i="38" s="1"/>
  <c r="R51" i="38" s="1"/>
  <c r="R52" i="38" s="1"/>
  <c r="R53" i="38" s="1"/>
  <c r="R54" i="38" s="1"/>
  <c r="R55" i="38" s="1"/>
  <c r="R56" i="38" s="1"/>
  <c r="R57" i="38" s="1"/>
  <c r="R58" i="38" s="1"/>
  <c r="R59" i="38" s="1"/>
  <c r="R60" i="38" s="1"/>
  <c r="R61" i="38" s="1"/>
  <c r="R62" i="38" s="1"/>
  <c r="R63" i="38" s="1"/>
  <c r="R64" i="38" s="1"/>
  <c r="R65" i="38" s="1"/>
  <c r="R66" i="38" s="1"/>
  <c r="R67" i="38" s="1"/>
  <c r="R68" i="38" s="1"/>
  <c r="R69" i="38" s="1"/>
  <c r="R70" i="38" s="1"/>
  <c r="R71" i="38" s="1"/>
  <c r="R72" i="38" s="1"/>
  <c r="R73" i="38" s="1"/>
  <c r="R74" i="38" s="1"/>
  <c r="R75" i="38" s="1"/>
  <c r="R76" i="38" s="1"/>
  <c r="R77" i="38" s="1"/>
  <c r="R78" i="38" s="1"/>
  <c r="R79" i="38" s="1"/>
  <c r="R80" i="38" s="1"/>
  <c r="R81" i="38" s="1"/>
  <c r="R82" i="38" s="1"/>
  <c r="R83" i="38" s="1"/>
  <c r="R84" i="38" s="1"/>
  <c r="R85" i="38" s="1"/>
  <c r="R86" i="38" s="1"/>
  <c r="R87" i="38" s="1"/>
  <c r="R88" i="38" s="1"/>
  <c r="R89" i="38" s="1"/>
  <c r="R90" i="38" s="1"/>
  <c r="R91" i="38" s="1"/>
  <c r="R92" i="38" s="1"/>
  <c r="R93" i="38" s="1"/>
  <c r="R94" i="38" s="1"/>
  <c r="R95" i="38" s="1"/>
  <c r="R96" i="38" s="1"/>
  <c r="R97" i="38" s="1"/>
  <c r="R98" i="38" s="1"/>
  <c r="R99" i="38" s="1"/>
  <c r="R100" i="38" s="1"/>
  <c r="R101" i="38" s="1"/>
  <c r="R102" i="38" s="1"/>
  <c r="R103" i="38" s="1"/>
  <c r="R104" i="38" s="1"/>
  <c r="R105" i="38" s="1"/>
  <c r="R106" i="38" s="1"/>
  <c r="R107" i="38" s="1"/>
  <c r="R108" i="38" s="1"/>
  <c r="R109" i="38" s="1"/>
  <c r="R110" i="38" s="1"/>
  <c r="R111" i="38" s="1"/>
  <c r="R112" i="38" s="1"/>
  <c r="R113" i="38" s="1"/>
  <c r="R114" i="38" s="1"/>
  <c r="R115" i="38" s="1"/>
  <c r="R116" i="38" s="1"/>
  <c r="R117" i="38" s="1"/>
  <c r="R118" i="38" s="1"/>
  <c r="R119" i="38" s="1"/>
  <c r="R120" i="38" s="1"/>
  <c r="R121" i="38" s="1"/>
  <c r="R122" i="38" s="1"/>
  <c r="R123" i="38" s="1"/>
  <c r="R124" i="38" s="1"/>
  <c r="R125" i="38" s="1"/>
  <c r="R126" i="38" s="1"/>
  <c r="R127" i="38" s="1"/>
  <c r="R128" i="38" s="1"/>
  <c r="R129" i="38" s="1"/>
  <c r="R130" i="38" s="1"/>
  <c r="R131" i="38" s="1"/>
  <c r="R132" i="38" s="1"/>
  <c r="R133" i="38" s="1"/>
  <c r="R134" i="38" s="1"/>
  <c r="R135" i="38" s="1"/>
  <c r="R136" i="38" s="1"/>
  <c r="R137" i="38" s="1"/>
  <c r="R138" i="38" s="1"/>
  <c r="R139" i="38" s="1"/>
  <c r="R140" i="38" s="1"/>
  <c r="R141" i="38" s="1"/>
  <c r="R142" i="38" s="1"/>
  <c r="R143" i="38" s="1"/>
  <c r="R144" i="38" s="1"/>
  <c r="R145" i="38" s="1"/>
  <c r="R146" i="38" s="1"/>
  <c r="R147" i="38" s="1"/>
  <c r="R148" i="38" s="1"/>
  <c r="R149" i="38" s="1"/>
  <c r="R150" i="38" s="1"/>
  <c r="R151" i="38" s="1"/>
  <c r="R152" i="38" s="1"/>
  <c r="R153" i="38" s="1"/>
  <c r="R154" i="38" s="1"/>
  <c r="R155" i="38" s="1"/>
  <c r="R156" i="38" s="1"/>
  <c r="R157" i="38" s="1"/>
  <c r="R158" i="38" s="1"/>
  <c r="R159" i="38" s="1"/>
  <c r="R160" i="38" s="1"/>
  <c r="R161" i="38" s="1"/>
  <c r="R162" i="38" s="1"/>
  <c r="R163" i="38" s="1"/>
  <c r="R164" i="38" s="1"/>
  <c r="R165" i="38" s="1"/>
  <c r="R166" i="38" s="1"/>
  <c r="R167" i="38" s="1"/>
  <c r="R168" i="38" s="1"/>
  <c r="R169" i="38" s="1"/>
  <c r="R170" i="38" s="1"/>
  <c r="R171" i="38" s="1"/>
  <c r="R172" i="38" s="1"/>
  <c r="R173" i="38" s="1"/>
  <c r="R174" i="38" s="1"/>
  <c r="R175" i="38" s="1"/>
  <c r="R176" i="38" s="1"/>
  <c r="R177" i="38" s="1"/>
  <c r="R178" i="38" s="1"/>
  <c r="R179" i="38" s="1"/>
  <c r="R180" i="38" s="1"/>
  <c r="R181" i="38" s="1"/>
  <c r="R182" i="38" s="1"/>
  <c r="R183" i="38" s="1"/>
  <c r="R184" i="38" s="1"/>
  <c r="R185" i="38" s="1"/>
  <c r="R186" i="38" s="1"/>
  <c r="R187" i="38" s="1"/>
  <c r="R188" i="38" s="1"/>
  <c r="R189" i="38" s="1"/>
  <c r="R190" i="38" s="1"/>
  <c r="R191" i="38" s="1"/>
  <c r="R192" i="38" s="1"/>
  <c r="R193" i="38" s="1"/>
  <c r="R194" i="38" s="1"/>
  <c r="R195" i="38" s="1"/>
  <c r="R196" i="38" s="1"/>
  <c r="R197" i="38" s="1"/>
  <c r="R198" i="38" s="1"/>
  <c r="R199" i="38" s="1"/>
  <c r="R200" i="38" s="1"/>
  <c r="R201" i="38" s="1"/>
  <c r="R202" i="38" s="1"/>
  <c r="R203" i="38" s="1"/>
  <c r="R204" i="38" s="1"/>
  <c r="R205" i="38" s="1"/>
  <c r="R206" i="38" s="1"/>
  <c r="R207" i="38" s="1"/>
  <c r="R208" i="38" s="1"/>
  <c r="R209" i="38" s="1"/>
  <c r="R210" i="38" s="1"/>
  <c r="R211" i="38" s="1"/>
  <c r="R212" i="38" s="1"/>
  <c r="R213" i="38" s="1"/>
  <c r="R214" i="38" s="1"/>
  <c r="R215" i="38" s="1"/>
  <c r="R216" i="38" s="1"/>
  <c r="R217" i="38" s="1"/>
  <c r="R218" i="38" s="1"/>
  <c r="R219" i="38" s="1"/>
  <c r="R220" i="38" s="1"/>
  <c r="R221" i="38" s="1"/>
  <c r="R222" i="38" s="1"/>
  <c r="R223" i="38" s="1"/>
  <c r="R224" i="38" s="1"/>
  <c r="R225" i="38" s="1"/>
  <c r="R226" i="38" s="1"/>
  <c r="R227" i="38" s="1"/>
  <c r="R228" i="38" s="1"/>
  <c r="R229" i="38" s="1"/>
  <c r="R230" i="38" s="1"/>
  <c r="R231" i="38" s="1"/>
  <c r="R232" i="38" s="1"/>
  <c r="R233" i="38" s="1"/>
  <c r="R234" i="38" s="1"/>
  <c r="R235" i="38" s="1"/>
  <c r="R236" i="38" s="1"/>
  <c r="R237" i="38" s="1"/>
  <c r="R238" i="38" s="1"/>
  <c r="R239" i="38" s="1"/>
  <c r="R240" i="38" s="1"/>
  <c r="R241" i="38" s="1"/>
  <c r="R242" i="38" s="1"/>
  <c r="R243" i="38" s="1"/>
  <c r="R244" i="38" s="1"/>
  <c r="R245" i="38" s="1"/>
  <c r="R246" i="38" s="1"/>
  <c r="R247" i="38" s="1"/>
  <c r="R248" i="38" s="1"/>
  <c r="R249" i="38" s="1"/>
  <c r="R250" i="38" s="1"/>
  <c r="R251" i="38" s="1"/>
  <c r="R252" i="38" s="1"/>
  <c r="R253" i="38" s="1"/>
  <c r="R254" i="38" s="1"/>
  <c r="R255" i="38" s="1"/>
  <c r="R256" i="38" s="1"/>
  <c r="R257" i="38" s="1"/>
  <c r="R258" i="38" s="1"/>
  <c r="R259" i="38" s="1"/>
  <c r="R260" i="38" s="1"/>
  <c r="R261" i="38" s="1"/>
  <c r="R262" i="38" s="1"/>
  <c r="R263" i="38" s="1"/>
  <c r="R264" i="38" s="1"/>
  <c r="R265" i="38" s="1"/>
  <c r="R266" i="38" s="1"/>
  <c r="R267" i="38" s="1"/>
  <c r="R268" i="38" s="1"/>
  <c r="R269" i="38" s="1"/>
  <c r="R270" i="38" s="1"/>
  <c r="R271" i="38" s="1"/>
  <c r="R272" i="38" s="1"/>
  <c r="R273" i="38" s="1"/>
  <c r="R274" i="38" s="1"/>
  <c r="R275" i="38" s="1"/>
  <c r="R276" i="38" s="1"/>
  <c r="R277" i="38" s="1"/>
  <c r="R278" i="38" s="1"/>
  <c r="R279" i="38" s="1"/>
  <c r="R280" i="38" s="1"/>
  <c r="R281" i="38" s="1"/>
  <c r="R282" i="38" s="1"/>
  <c r="R283" i="38" s="1"/>
  <c r="R284" i="38" s="1"/>
  <c r="R285" i="38" s="1"/>
  <c r="R286" i="38" s="1"/>
  <c r="R287" i="38" s="1"/>
  <c r="R288" i="38" s="1"/>
  <c r="R289" i="38" s="1"/>
  <c r="R290" i="38" s="1"/>
  <c r="R291" i="38" s="1"/>
  <c r="R292" i="38" s="1"/>
  <c r="R293" i="38" s="1"/>
  <c r="R294" i="38" s="1"/>
  <c r="R295" i="38" s="1"/>
  <c r="R296" i="38" s="1"/>
  <c r="R297" i="38" s="1"/>
  <c r="R298" i="38" s="1"/>
  <c r="R299" i="38" s="1"/>
  <c r="R300" i="38" s="1"/>
  <c r="R301" i="38" s="1"/>
  <c r="R302" i="38" s="1"/>
  <c r="R303" i="38" s="1"/>
  <c r="R304" i="38" s="1"/>
  <c r="R305" i="38" s="1"/>
  <c r="R306" i="38" s="1"/>
  <c r="R307" i="38" s="1"/>
  <c r="R308" i="38" s="1"/>
  <c r="R309" i="38" s="1"/>
  <c r="R310" i="38" s="1"/>
  <c r="R311" i="38" s="1"/>
  <c r="R312" i="38" s="1"/>
  <c r="R313" i="38" s="1"/>
  <c r="R314" i="38" s="1"/>
  <c r="R315" i="38" s="1"/>
  <c r="R316" i="38" s="1"/>
  <c r="R317" i="38" s="1"/>
  <c r="R318" i="38" s="1"/>
  <c r="R319" i="38" s="1"/>
  <c r="R320" i="38" s="1"/>
  <c r="R321" i="38" s="1"/>
  <c r="R322" i="38" s="1"/>
  <c r="R323" i="38" s="1"/>
  <c r="R324" i="38" s="1"/>
  <c r="R325" i="38" s="1"/>
  <c r="R326" i="38" s="1"/>
  <c r="R327" i="38" s="1"/>
  <c r="R328" i="38" s="1"/>
  <c r="R329" i="38" s="1"/>
  <c r="R330" i="38" s="1"/>
  <c r="R331" i="38" s="1"/>
  <c r="R332" i="38" s="1"/>
  <c r="R333" i="38" s="1"/>
  <c r="R334" i="38" s="1"/>
  <c r="R335" i="38" s="1"/>
  <c r="R336" i="38" s="1"/>
  <c r="R337" i="38" s="1"/>
  <c r="R338" i="38" s="1"/>
  <c r="R339" i="38" s="1"/>
  <c r="R340" i="38" s="1"/>
  <c r="R341" i="38" s="1"/>
  <c r="R342" i="38" s="1"/>
  <c r="R343" i="38" s="1"/>
  <c r="R344" i="38" s="1"/>
  <c r="R345" i="38" s="1"/>
  <c r="R346" i="38" s="1"/>
  <c r="R347" i="38" s="1"/>
  <c r="R348" i="38" s="1"/>
  <c r="R349" i="38" s="1"/>
  <c r="R350" i="38" s="1"/>
  <c r="R351" i="38" s="1"/>
  <c r="R352" i="38" s="1"/>
  <c r="R353" i="38" s="1"/>
  <c r="R354" i="38" s="1"/>
  <c r="R355" i="38" s="1"/>
  <c r="R356" i="38" s="1"/>
  <c r="R357" i="38" s="1"/>
  <c r="R358" i="38" s="1"/>
  <c r="R359" i="38" s="1"/>
  <c r="R360" i="38" s="1"/>
  <c r="R361" i="38" s="1"/>
  <c r="R362" i="38" s="1"/>
  <c r="R363" i="38" s="1"/>
  <c r="R364" i="38" s="1"/>
  <c r="R365" i="38" s="1"/>
  <c r="R366" i="38" s="1"/>
  <c r="R367" i="38" s="1"/>
  <c r="R368" i="38" s="1"/>
  <c r="R369" i="38" s="1"/>
  <c r="R370" i="38" s="1"/>
  <c r="R371" i="38" s="1"/>
  <c r="R372" i="38" s="1"/>
  <c r="R373" i="38" s="1"/>
  <c r="R374" i="38" s="1"/>
  <c r="R375" i="38" s="1"/>
  <c r="R376" i="38" s="1"/>
  <c r="R377" i="38" s="1"/>
  <c r="R378" i="38" s="1"/>
  <c r="R379" i="38" s="1"/>
  <c r="R380" i="38" s="1"/>
  <c r="R381" i="38" s="1"/>
  <c r="R382" i="38" s="1"/>
  <c r="R383" i="38" s="1"/>
  <c r="R384" i="38" s="1"/>
  <c r="R385" i="38" s="1"/>
  <c r="R386" i="38" s="1"/>
  <c r="R387" i="38" s="1"/>
  <c r="R388" i="38" s="1"/>
  <c r="R389" i="38" s="1"/>
  <c r="R390" i="38" s="1"/>
  <c r="R391" i="38" s="1"/>
  <c r="R392" i="38" s="1"/>
  <c r="R393" i="38" s="1"/>
  <c r="R394" i="38" s="1"/>
  <c r="R395" i="38" s="1"/>
  <c r="R396" i="38" s="1"/>
  <c r="R397" i="38" s="1"/>
  <c r="R398" i="38" s="1"/>
  <c r="R399" i="38" s="1"/>
  <c r="R400" i="38" s="1"/>
  <c r="R401" i="38" s="1"/>
  <c r="R402" i="38" s="1"/>
  <c r="R403" i="38" s="1"/>
  <c r="R404" i="38" s="1"/>
  <c r="R405" i="38" s="1"/>
  <c r="R406" i="38" s="1"/>
  <c r="R407" i="38" s="1"/>
  <c r="R408" i="38" s="1"/>
  <c r="R409" i="38" s="1"/>
  <c r="R410" i="38" s="1"/>
  <c r="R411" i="38" s="1"/>
  <c r="R412" i="38" s="1"/>
  <c r="R413" i="38" s="1"/>
  <c r="R414" i="38" s="1"/>
  <c r="R415" i="38" s="1"/>
  <c r="R416" i="38" s="1"/>
  <c r="R417" i="38" s="1"/>
  <c r="R418" i="38" s="1"/>
  <c r="R419" i="38" s="1"/>
  <c r="R420" i="38" s="1"/>
  <c r="R421" i="38" s="1"/>
  <c r="R422" i="38" s="1"/>
  <c r="R423" i="38" s="1"/>
  <c r="R424" i="38" s="1"/>
  <c r="R425" i="38" s="1"/>
  <c r="R426" i="38" s="1"/>
  <c r="R427" i="38" s="1"/>
  <c r="R428" i="38" s="1"/>
  <c r="R429" i="38" s="1"/>
  <c r="R430" i="38" s="1"/>
  <c r="R431" i="38" s="1"/>
  <c r="R432" i="38" s="1"/>
  <c r="R433" i="38" s="1"/>
  <c r="R434" i="38" s="1"/>
  <c r="R435" i="38" s="1"/>
  <c r="R436" i="38" s="1"/>
  <c r="R437" i="38" s="1"/>
  <c r="R438" i="38" s="1"/>
  <c r="R439" i="38" s="1"/>
  <c r="R440" i="38" s="1"/>
  <c r="R441" i="38" s="1"/>
  <c r="R442" i="38" s="1"/>
  <c r="R443" i="38" s="1"/>
  <c r="R444" i="38" s="1"/>
  <c r="R445" i="38" s="1"/>
  <c r="R446" i="38" s="1"/>
  <c r="R447" i="38" s="1"/>
  <c r="R448" i="38" s="1"/>
  <c r="R449" i="38" s="1"/>
  <c r="R450" i="38" s="1"/>
  <c r="R451" i="38" s="1"/>
  <c r="R452" i="38" s="1"/>
  <c r="R453" i="38" s="1"/>
  <c r="R454" i="38" s="1"/>
  <c r="R455" i="38" s="1"/>
  <c r="R456" i="38" s="1"/>
  <c r="R457" i="38" s="1"/>
  <c r="R458" i="38" s="1"/>
  <c r="R459" i="38" s="1"/>
  <c r="R460" i="38" s="1"/>
  <c r="R461" i="38" s="1"/>
  <c r="R462" i="38" s="1"/>
  <c r="R463" i="38" s="1"/>
  <c r="R464" i="38" s="1"/>
  <c r="R465" i="38" s="1"/>
  <c r="R466" i="38" s="1"/>
  <c r="R467" i="38" s="1"/>
  <c r="R468" i="38" s="1"/>
  <c r="R469" i="38" s="1"/>
  <c r="R470" i="38" s="1"/>
  <c r="R471" i="38" s="1"/>
  <c r="R472" i="38" s="1"/>
  <c r="R473" i="38" s="1"/>
  <c r="R474" i="38" s="1"/>
  <c r="R475" i="38" s="1"/>
  <c r="R476" i="38" s="1"/>
  <c r="R477" i="38" s="1"/>
  <c r="R478" i="38" s="1"/>
  <c r="R479" i="38" s="1"/>
  <c r="R480" i="38" s="1"/>
  <c r="R481" i="38" s="1"/>
  <c r="R482" i="38" s="1"/>
  <c r="R483" i="38" s="1"/>
  <c r="R484" i="38" s="1"/>
  <c r="R485" i="38" s="1"/>
  <c r="R486" i="38" s="1"/>
  <c r="R487" i="38" s="1"/>
  <c r="R488" i="38" s="1"/>
  <c r="R489" i="38" s="1"/>
  <c r="R490" i="38" s="1"/>
  <c r="R491" i="38" s="1"/>
  <c r="R492" i="38" s="1"/>
  <c r="R493" i="38" s="1"/>
  <c r="R494" i="38" s="1"/>
  <c r="R495" i="38" s="1"/>
  <c r="R496" i="38" s="1"/>
  <c r="R497" i="38" s="1"/>
  <c r="R498" i="38" s="1"/>
  <c r="R499" i="38" s="1"/>
  <c r="R500" i="38" s="1"/>
  <c r="R501" i="38" s="1"/>
  <c r="R502" i="38" s="1"/>
  <c r="R503" i="38" s="1"/>
  <c r="R504" i="38" s="1"/>
  <c r="R505" i="38" s="1"/>
  <c r="R506" i="38" s="1"/>
  <c r="R507" i="38" s="1"/>
  <c r="R508" i="38" s="1"/>
  <c r="R509" i="38" s="1"/>
  <c r="R510" i="38" s="1"/>
  <c r="R511" i="38" s="1"/>
  <c r="R512" i="38" s="1"/>
  <c r="R513" i="38" s="1"/>
  <c r="R514" i="38" s="1"/>
  <c r="R515" i="38" s="1"/>
  <c r="R516" i="38" s="1"/>
  <c r="R517" i="38" s="1"/>
  <c r="R518" i="38" s="1"/>
  <c r="R519" i="38" s="1"/>
  <c r="R520" i="38" s="1"/>
  <c r="R521" i="38" s="1"/>
  <c r="R522" i="38" s="1"/>
  <c r="R523" i="38" s="1"/>
  <c r="P23" i="38"/>
  <c r="P24" i="38" s="1"/>
  <c r="P25" i="38" s="1"/>
  <c r="P26" i="38" s="1"/>
  <c r="P27" i="38" s="1"/>
  <c r="P28" i="38" s="1"/>
  <c r="P29" i="38" s="1"/>
  <c r="P30" i="38" s="1"/>
  <c r="P31" i="38" s="1"/>
  <c r="P32" i="38" s="1"/>
  <c r="P33" i="38" s="1"/>
  <c r="P34" i="38" s="1"/>
  <c r="P35" i="38" s="1"/>
  <c r="P36" i="38" s="1"/>
  <c r="P37" i="38" s="1"/>
  <c r="P38" i="38" s="1"/>
  <c r="P39" i="38" s="1"/>
  <c r="P40" i="38" s="1"/>
  <c r="P41" i="38" s="1"/>
  <c r="P42" i="38" s="1"/>
  <c r="P43" i="38" s="1"/>
  <c r="P44" i="38" s="1"/>
  <c r="P45" i="38" s="1"/>
  <c r="P46" i="38" s="1"/>
  <c r="P47" i="38" s="1"/>
  <c r="P48" i="38" s="1"/>
  <c r="P49" i="38" s="1"/>
  <c r="P50" i="38" s="1"/>
  <c r="P51" i="38" s="1"/>
  <c r="P52" i="38" s="1"/>
  <c r="P53" i="38" s="1"/>
  <c r="P54" i="38" s="1"/>
  <c r="P55" i="38" s="1"/>
  <c r="P56" i="38" s="1"/>
  <c r="P57" i="38" s="1"/>
  <c r="P58" i="38" s="1"/>
  <c r="P59" i="38" s="1"/>
  <c r="P60" i="38" s="1"/>
  <c r="P61" i="38" s="1"/>
  <c r="P62" i="38" s="1"/>
  <c r="P63" i="38" s="1"/>
  <c r="P64" i="38" s="1"/>
  <c r="P65" i="38" s="1"/>
  <c r="P66" i="38" s="1"/>
  <c r="P67" i="38" s="1"/>
  <c r="P68" i="38" s="1"/>
  <c r="P69" i="38" s="1"/>
  <c r="P70" i="38" s="1"/>
  <c r="P71" i="38" s="1"/>
  <c r="P72" i="38" s="1"/>
  <c r="P73" i="38" s="1"/>
  <c r="P74" i="38" s="1"/>
  <c r="P75" i="38" s="1"/>
  <c r="P76" i="38" s="1"/>
  <c r="P77" i="38" s="1"/>
  <c r="P78" i="38" s="1"/>
  <c r="P79" i="38" s="1"/>
  <c r="P80" i="38" s="1"/>
  <c r="P81" i="38" s="1"/>
  <c r="P82" i="38" s="1"/>
  <c r="P83" i="38" s="1"/>
  <c r="P84" i="38" s="1"/>
  <c r="P85" i="38" s="1"/>
  <c r="P86" i="38" s="1"/>
  <c r="P87" i="38" s="1"/>
  <c r="P88" i="38" s="1"/>
  <c r="P89" i="38" s="1"/>
  <c r="P90" i="38" s="1"/>
  <c r="P91" i="38" s="1"/>
  <c r="P92" i="38" s="1"/>
  <c r="P93" i="38" s="1"/>
  <c r="P94" i="38" s="1"/>
  <c r="P95" i="38" s="1"/>
  <c r="P96" i="38" s="1"/>
  <c r="P97" i="38" s="1"/>
  <c r="P98" i="38" s="1"/>
  <c r="P99" i="38" s="1"/>
  <c r="P100" i="38" s="1"/>
  <c r="P101" i="38" s="1"/>
  <c r="P102" i="38" s="1"/>
  <c r="P103" i="38" s="1"/>
  <c r="P104" i="38" s="1"/>
  <c r="P105" i="38" s="1"/>
  <c r="P106" i="38" s="1"/>
  <c r="P107" i="38" s="1"/>
  <c r="P108" i="38" s="1"/>
  <c r="P109" i="38" s="1"/>
  <c r="P110" i="38" s="1"/>
  <c r="P111" i="38" s="1"/>
  <c r="P112" i="38" s="1"/>
  <c r="P113" i="38" s="1"/>
  <c r="P114" i="38" s="1"/>
  <c r="P115" i="38" s="1"/>
  <c r="P116" i="38" s="1"/>
  <c r="P117" i="38" s="1"/>
  <c r="P118" i="38" s="1"/>
  <c r="P119" i="38" s="1"/>
  <c r="P120" i="38" s="1"/>
  <c r="P121" i="38" s="1"/>
  <c r="P122" i="38" s="1"/>
  <c r="P123" i="38" s="1"/>
  <c r="P124" i="38" s="1"/>
  <c r="P125" i="38" s="1"/>
  <c r="P126" i="38" s="1"/>
  <c r="P127" i="38" s="1"/>
  <c r="P128" i="38" s="1"/>
  <c r="P129" i="38" s="1"/>
  <c r="P130" i="38" s="1"/>
  <c r="P131" i="38" s="1"/>
  <c r="P132" i="38" s="1"/>
  <c r="P133" i="38" s="1"/>
  <c r="P134" i="38" s="1"/>
  <c r="P135" i="38" s="1"/>
  <c r="P136" i="38" s="1"/>
  <c r="P137" i="38" s="1"/>
  <c r="P138" i="38" s="1"/>
  <c r="P139" i="38" s="1"/>
  <c r="P140" i="38" s="1"/>
  <c r="P141" i="38" s="1"/>
  <c r="P142" i="38" s="1"/>
  <c r="P143" i="38" s="1"/>
  <c r="P144" i="38" s="1"/>
  <c r="P145" i="38" s="1"/>
  <c r="P146" i="38" s="1"/>
  <c r="P147" i="38" s="1"/>
  <c r="P148" i="38" s="1"/>
  <c r="P149" i="38" s="1"/>
  <c r="P150" i="38" s="1"/>
  <c r="P151" i="38" s="1"/>
  <c r="P152" i="38" s="1"/>
  <c r="P153" i="38" s="1"/>
  <c r="P154" i="38" s="1"/>
  <c r="P155" i="38" s="1"/>
  <c r="P156" i="38" s="1"/>
  <c r="P157" i="38" s="1"/>
  <c r="P158" i="38" s="1"/>
  <c r="P159" i="38" s="1"/>
  <c r="P160" i="38" s="1"/>
  <c r="P161" i="38" s="1"/>
  <c r="P162" i="38" s="1"/>
  <c r="P163" i="38" s="1"/>
  <c r="P164" i="38" s="1"/>
  <c r="P165" i="38" s="1"/>
  <c r="P166" i="38" s="1"/>
  <c r="P167" i="38" s="1"/>
  <c r="P168" i="38" s="1"/>
  <c r="P169" i="38" s="1"/>
  <c r="P170" i="38" s="1"/>
  <c r="P171" i="38" s="1"/>
  <c r="P172" i="38" s="1"/>
  <c r="P173" i="38" s="1"/>
  <c r="P174" i="38" s="1"/>
  <c r="P175" i="38" s="1"/>
  <c r="P176" i="38" s="1"/>
  <c r="P177" i="38" s="1"/>
  <c r="P178" i="38" s="1"/>
  <c r="P179" i="38" s="1"/>
  <c r="P180" i="38" s="1"/>
  <c r="P181" i="38" s="1"/>
  <c r="P182" i="38" s="1"/>
  <c r="P183" i="38" s="1"/>
  <c r="P184" i="38" s="1"/>
  <c r="P185" i="38" s="1"/>
  <c r="P186" i="38" s="1"/>
  <c r="P187" i="38" s="1"/>
  <c r="P188" i="38" s="1"/>
  <c r="P189" i="38" s="1"/>
  <c r="P190" i="38" s="1"/>
  <c r="P191" i="38" s="1"/>
  <c r="P192" i="38" s="1"/>
  <c r="P193" i="38" s="1"/>
  <c r="P194" i="38" s="1"/>
  <c r="P195" i="38" s="1"/>
  <c r="P196" i="38" s="1"/>
  <c r="P197" i="38" s="1"/>
  <c r="P198" i="38" s="1"/>
  <c r="P199" i="38" s="1"/>
  <c r="P200" i="38" s="1"/>
  <c r="P201" i="38" s="1"/>
  <c r="P202" i="38" s="1"/>
  <c r="P203" i="38" s="1"/>
  <c r="P204" i="38" s="1"/>
  <c r="P205" i="38" s="1"/>
  <c r="P206" i="38" s="1"/>
  <c r="P207" i="38" s="1"/>
  <c r="P208" i="38" s="1"/>
  <c r="P209" i="38" s="1"/>
  <c r="P210" i="38" s="1"/>
  <c r="P211" i="38" s="1"/>
  <c r="P212" i="38" s="1"/>
  <c r="P213" i="38" s="1"/>
  <c r="P214" i="38" s="1"/>
  <c r="P215" i="38" s="1"/>
  <c r="P216" i="38" s="1"/>
  <c r="P217" i="38" s="1"/>
  <c r="P218" i="38" s="1"/>
  <c r="P219" i="38" s="1"/>
  <c r="P220" i="38" s="1"/>
  <c r="P221" i="38" s="1"/>
  <c r="P222" i="38" s="1"/>
  <c r="P223" i="38" s="1"/>
  <c r="P224" i="38" s="1"/>
  <c r="P225" i="38" s="1"/>
  <c r="P226" i="38" s="1"/>
  <c r="P227" i="38" s="1"/>
  <c r="P228" i="38" s="1"/>
  <c r="P229" i="38" s="1"/>
  <c r="P230" i="38" s="1"/>
  <c r="P231" i="38" s="1"/>
  <c r="P232" i="38" s="1"/>
  <c r="P233" i="38" s="1"/>
  <c r="P234" i="38" s="1"/>
  <c r="P235" i="38" s="1"/>
  <c r="P236" i="38" s="1"/>
  <c r="P237" i="38" s="1"/>
  <c r="P238" i="38" s="1"/>
  <c r="P239" i="38" s="1"/>
  <c r="P240" i="38" s="1"/>
  <c r="P241" i="38" s="1"/>
  <c r="P242" i="38" s="1"/>
  <c r="P243" i="38" s="1"/>
  <c r="P244" i="38" s="1"/>
  <c r="P245" i="38" s="1"/>
  <c r="P246" i="38" s="1"/>
  <c r="P247" i="38" s="1"/>
  <c r="P248" i="38" s="1"/>
  <c r="P249" i="38" s="1"/>
  <c r="P250" i="38" s="1"/>
  <c r="P251" i="38" s="1"/>
  <c r="P252" i="38" s="1"/>
  <c r="P253" i="38" s="1"/>
  <c r="P254" i="38" s="1"/>
  <c r="P255" i="38" s="1"/>
  <c r="P256" i="38" s="1"/>
  <c r="P257" i="38" s="1"/>
  <c r="P258" i="38" s="1"/>
  <c r="P259" i="38" s="1"/>
  <c r="P260" i="38" s="1"/>
  <c r="P261" i="38" s="1"/>
  <c r="P262" i="38" s="1"/>
  <c r="P263" i="38" s="1"/>
  <c r="P264" i="38" s="1"/>
  <c r="P265" i="38" s="1"/>
  <c r="P266" i="38" s="1"/>
  <c r="P267" i="38" s="1"/>
  <c r="P268" i="38" s="1"/>
  <c r="P269" i="38" s="1"/>
  <c r="P270" i="38" s="1"/>
  <c r="P271" i="38" s="1"/>
  <c r="P272" i="38" s="1"/>
  <c r="P273" i="38" s="1"/>
  <c r="P274" i="38" s="1"/>
  <c r="P275" i="38" s="1"/>
  <c r="P276" i="38" s="1"/>
  <c r="P277" i="38" s="1"/>
  <c r="P278" i="38" s="1"/>
  <c r="P279" i="38" s="1"/>
  <c r="P280" i="38" s="1"/>
  <c r="P281" i="38" s="1"/>
  <c r="P282" i="38" s="1"/>
  <c r="P283" i="38" s="1"/>
  <c r="P284" i="38" s="1"/>
  <c r="P285" i="38" s="1"/>
  <c r="P286" i="38" s="1"/>
  <c r="P287" i="38" s="1"/>
  <c r="P288" i="38" s="1"/>
  <c r="P289" i="38" s="1"/>
  <c r="P290" i="38" s="1"/>
  <c r="P291" i="38" s="1"/>
  <c r="P292" i="38" s="1"/>
  <c r="P293" i="38" s="1"/>
  <c r="P294" i="38" s="1"/>
  <c r="P295" i="38" s="1"/>
  <c r="P296" i="38" s="1"/>
  <c r="P297" i="38" s="1"/>
  <c r="P298" i="38" s="1"/>
  <c r="P299" i="38" s="1"/>
  <c r="P300" i="38" s="1"/>
  <c r="P301" i="38" s="1"/>
  <c r="P302" i="38" s="1"/>
  <c r="P303" i="38" s="1"/>
  <c r="P304" i="38" s="1"/>
  <c r="P305" i="38" s="1"/>
  <c r="P306" i="38" s="1"/>
  <c r="P307" i="38" s="1"/>
  <c r="P308" i="38" s="1"/>
  <c r="P309" i="38" s="1"/>
  <c r="P310" i="38" s="1"/>
  <c r="P311" i="38" s="1"/>
  <c r="P312" i="38" s="1"/>
  <c r="P313" i="38" s="1"/>
  <c r="P314" i="38" s="1"/>
  <c r="P315" i="38" s="1"/>
  <c r="P316" i="38" s="1"/>
  <c r="P317" i="38" s="1"/>
  <c r="P318" i="38" s="1"/>
  <c r="P319" i="38" s="1"/>
  <c r="P320" i="38" s="1"/>
  <c r="P321" i="38" s="1"/>
  <c r="P322" i="38" s="1"/>
  <c r="P323" i="38" s="1"/>
  <c r="P324" i="38" s="1"/>
  <c r="P325" i="38" s="1"/>
  <c r="P326" i="38" s="1"/>
  <c r="P327" i="38" s="1"/>
  <c r="P328" i="38" s="1"/>
  <c r="P329" i="38" s="1"/>
  <c r="P330" i="38" s="1"/>
  <c r="P331" i="38" s="1"/>
  <c r="P332" i="38" s="1"/>
  <c r="P333" i="38" s="1"/>
  <c r="P334" i="38" s="1"/>
  <c r="P335" i="38" s="1"/>
  <c r="P336" i="38" s="1"/>
  <c r="P337" i="38" s="1"/>
  <c r="P338" i="38" s="1"/>
  <c r="P339" i="38" s="1"/>
  <c r="P340" i="38" s="1"/>
  <c r="P341" i="38" s="1"/>
  <c r="P342" i="38" s="1"/>
  <c r="P343" i="38" s="1"/>
  <c r="P344" i="38" s="1"/>
  <c r="P345" i="38" s="1"/>
  <c r="P346" i="38" s="1"/>
  <c r="P347" i="38" s="1"/>
  <c r="P348" i="38" s="1"/>
  <c r="P349" i="38" s="1"/>
  <c r="P350" i="38" s="1"/>
  <c r="P351" i="38" s="1"/>
  <c r="P352" i="38" s="1"/>
  <c r="P353" i="38" s="1"/>
  <c r="P354" i="38" s="1"/>
  <c r="P355" i="38" s="1"/>
  <c r="P356" i="38" s="1"/>
  <c r="P357" i="38" s="1"/>
  <c r="P358" i="38" s="1"/>
  <c r="P359" i="38" s="1"/>
  <c r="P360" i="38" s="1"/>
  <c r="P361" i="38" s="1"/>
  <c r="P362" i="38" s="1"/>
  <c r="P363" i="38" s="1"/>
  <c r="P364" i="38" s="1"/>
  <c r="P365" i="38" s="1"/>
  <c r="P366" i="38" s="1"/>
  <c r="P367" i="38" s="1"/>
  <c r="P368" i="38" s="1"/>
  <c r="P369" i="38" s="1"/>
  <c r="P370" i="38" s="1"/>
  <c r="P371" i="38" s="1"/>
  <c r="P372" i="38" s="1"/>
  <c r="P373" i="38" s="1"/>
  <c r="P374" i="38" s="1"/>
  <c r="P375" i="38" s="1"/>
  <c r="P376" i="38" s="1"/>
  <c r="P377" i="38" s="1"/>
  <c r="P378" i="38" s="1"/>
  <c r="P379" i="38" s="1"/>
  <c r="P380" i="38" s="1"/>
  <c r="P381" i="38" s="1"/>
  <c r="P382" i="38" s="1"/>
  <c r="P383" i="38" s="1"/>
  <c r="P384" i="38" s="1"/>
  <c r="P385" i="38" s="1"/>
  <c r="P386" i="38" s="1"/>
  <c r="P387" i="38" s="1"/>
  <c r="P388" i="38" s="1"/>
  <c r="P389" i="38" s="1"/>
  <c r="P390" i="38" s="1"/>
  <c r="P391" i="38" s="1"/>
  <c r="P392" i="38" s="1"/>
  <c r="P393" i="38" s="1"/>
  <c r="P394" i="38" s="1"/>
  <c r="P395" i="38" s="1"/>
  <c r="P396" i="38" s="1"/>
  <c r="P397" i="38" s="1"/>
  <c r="P398" i="38" s="1"/>
  <c r="P399" i="38" s="1"/>
  <c r="P400" i="38" s="1"/>
  <c r="P401" i="38" s="1"/>
  <c r="P402" i="38" s="1"/>
  <c r="P403" i="38" s="1"/>
  <c r="P404" i="38" s="1"/>
  <c r="P405" i="38" s="1"/>
  <c r="P406" i="38" s="1"/>
  <c r="P407" i="38" s="1"/>
  <c r="P408" i="38" s="1"/>
  <c r="P409" i="38" s="1"/>
  <c r="P410" i="38" s="1"/>
  <c r="P411" i="38" s="1"/>
  <c r="P412" i="38" s="1"/>
  <c r="P413" i="38" s="1"/>
  <c r="P414" i="38" s="1"/>
  <c r="P415" i="38" s="1"/>
  <c r="P416" i="38" s="1"/>
  <c r="P417" i="38" s="1"/>
  <c r="P418" i="38" s="1"/>
  <c r="P419" i="38" s="1"/>
  <c r="P420" i="38" s="1"/>
  <c r="P421" i="38" s="1"/>
  <c r="P422" i="38" s="1"/>
  <c r="P423" i="38" s="1"/>
  <c r="P424" i="38" s="1"/>
  <c r="P425" i="38" s="1"/>
  <c r="P426" i="38" s="1"/>
  <c r="P427" i="38" s="1"/>
  <c r="P428" i="38" s="1"/>
  <c r="P429" i="38" s="1"/>
  <c r="P430" i="38" s="1"/>
  <c r="P431" i="38" s="1"/>
  <c r="P432" i="38" s="1"/>
  <c r="P433" i="38" s="1"/>
  <c r="P434" i="38" s="1"/>
  <c r="P435" i="38" s="1"/>
  <c r="P436" i="38" s="1"/>
  <c r="P437" i="38" s="1"/>
  <c r="P438" i="38" s="1"/>
  <c r="P439" i="38" s="1"/>
  <c r="P440" i="38" s="1"/>
  <c r="P441" i="38" s="1"/>
  <c r="P442" i="38" s="1"/>
  <c r="P443" i="38" s="1"/>
  <c r="P444" i="38" s="1"/>
  <c r="P445" i="38" s="1"/>
  <c r="P446" i="38" s="1"/>
  <c r="P447" i="38" s="1"/>
  <c r="P448" i="38" s="1"/>
  <c r="P449" i="38" s="1"/>
  <c r="P450" i="38" s="1"/>
  <c r="P451" i="38" s="1"/>
  <c r="P452" i="38" s="1"/>
  <c r="P453" i="38" s="1"/>
  <c r="P454" i="38" s="1"/>
  <c r="P455" i="38" s="1"/>
  <c r="P456" i="38" s="1"/>
  <c r="P457" i="38" s="1"/>
  <c r="P458" i="38" s="1"/>
  <c r="P459" i="38" s="1"/>
  <c r="P460" i="38" s="1"/>
  <c r="P461" i="38" s="1"/>
  <c r="P462" i="38" s="1"/>
  <c r="P463" i="38" s="1"/>
  <c r="P464" i="38" s="1"/>
  <c r="P465" i="38" s="1"/>
  <c r="P466" i="38" s="1"/>
  <c r="P467" i="38" s="1"/>
  <c r="P468" i="38" s="1"/>
  <c r="P469" i="38" s="1"/>
  <c r="P470" i="38" s="1"/>
  <c r="P471" i="38" s="1"/>
  <c r="P472" i="38" s="1"/>
  <c r="P473" i="38" s="1"/>
  <c r="P474" i="38" s="1"/>
  <c r="P475" i="38" s="1"/>
  <c r="P476" i="38" s="1"/>
  <c r="P477" i="38" s="1"/>
  <c r="P478" i="38" s="1"/>
  <c r="P479" i="38" s="1"/>
  <c r="P480" i="38" s="1"/>
  <c r="P481" i="38" s="1"/>
  <c r="P482" i="38" s="1"/>
  <c r="P483" i="38" s="1"/>
  <c r="P484" i="38" s="1"/>
  <c r="P485" i="38" s="1"/>
  <c r="P486" i="38" s="1"/>
  <c r="P487" i="38" s="1"/>
  <c r="P488" i="38" s="1"/>
  <c r="P489" i="38" s="1"/>
  <c r="P490" i="38" s="1"/>
  <c r="P491" i="38" s="1"/>
  <c r="P492" i="38" s="1"/>
  <c r="P493" i="38" s="1"/>
  <c r="P494" i="38" s="1"/>
  <c r="P495" i="38" s="1"/>
  <c r="P496" i="38" s="1"/>
  <c r="P497" i="38" s="1"/>
  <c r="P498" i="38" s="1"/>
  <c r="P499" i="38" s="1"/>
  <c r="P500" i="38" s="1"/>
  <c r="P501" i="38" s="1"/>
  <c r="P502" i="38" s="1"/>
  <c r="P503" i="38" s="1"/>
  <c r="P504" i="38" s="1"/>
  <c r="P505" i="38" s="1"/>
  <c r="P506" i="38" s="1"/>
  <c r="P507" i="38" s="1"/>
  <c r="P508" i="38" s="1"/>
  <c r="P509" i="38" s="1"/>
  <c r="P510" i="38" s="1"/>
  <c r="P511" i="38" s="1"/>
  <c r="P512" i="38" s="1"/>
  <c r="P513" i="38" s="1"/>
  <c r="P514" i="38" s="1"/>
  <c r="P515" i="38" s="1"/>
  <c r="P516" i="38" s="1"/>
  <c r="P517" i="38" s="1"/>
  <c r="P518" i="38" s="1"/>
  <c r="P519" i="38" s="1"/>
  <c r="P520" i="38" s="1"/>
  <c r="P521" i="38" s="1"/>
  <c r="P522" i="38" s="1"/>
  <c r="P523" i="38" s="1"/>
  <c r="R4" i="38"/>
  <c r="Q4" i="38"/>
  <c r="P4" i="38"/>
  <c r="AB8" i="38"/>
  <c r="AA8" i="38"/>
  <c r="Z8" i="38"/>
  <c r="Q1" i="38"/>
  <c r="R1" i="38"/>
  <c r="P1" i="38"/>
  <c r="B11" i="36"/>
  <c r="B10" i="36" s="1"/>
  <c r="P103" i="30"/>
  <c r="Q103" i="30" s="1"/>
  <c r="AJ103" i="30" s="1"/>
  <c r="A18" i="29"/>
  <c r="F2" i="30"/>
  <c r="A7" i="29"/>
  <c r="A19" i="29"/>
  <c r="A20" i="29"/>
  <c r="A5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A11" i="29" l="1"/>
  <c r="A36" i="29"/>
  <c r="A3" i="29"/>
  <c r="A4" i="29"/>
  <c r="A40" i="29"/>
  <c r="H14" i="29"/>
  <c r="A14" i="29"/>
  <c r="A17" i="29"/>
  <c r="H23" i="29"/>
  <c r="A23" i="29"/>
  <c r="A10" i="29"/>
  <c r="A8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0" i="29"/>
  <c r="A6" i="29"/>
  <c r="A39" i="29"/>
  <c r="A38" i="29"/>
  <c r="A35" i="29"/>
  <c r="A34" i="29"/>
  <c r="A13" i="29"/>
  <c r="A15" i="29"/>
  <c r="A21" i="29"/>
  <c r="A9" i="29"/>
  <c r="A22" i="29"/>
  <c r="A16" i="29"/>
  <c r="A27" i="29"/>
  <c r="A12" i="29"/>
  <c r="A32" i="29"/>
  <c r="A33" i="29"/>
  <c r="A25" i="29"/>
  <c r="A37" i="29"/>
  <c r="A24" i="29"/>
  <c r="A28" i="29"/>
  <c r="A31" i="29"/>
  <c r="A26" i="29"/>
  <c r="J16" i="30" l="1"/>
  <c r="L16" i="30" s="1"/>
  <c r="I16" i="30"/>
  <c r="G18" i="30"/>
  <c r="G14" i="30"/>
  <c r="H16" i="30"/>
  <c r="G16" i="30"/>
  <c r="H15" i="30"/>
  <c r="J15" i="30"/>
  <c r="L15" i="30" s="1"/>
  <c r="G15" i="30"/>
  <c r="G17" i="30"/>
  <c r="I17" i="30"/>
  <c r="J14" i="30"/>
  <c r="L14" i="30" s="1"/>
  <c r="I18" i="30"/>
  <c r="J21" i="30"/>
  <c r="L21" i="30" s="1"/>
  <c r="I25" i="30"/>
  <c r="J20" i="30"/>
  <c r="L20" i="30" s="1"/>
  <c r="I24" i="30"/>
  <c r="J19" i="30"/>
  <c r="L19" i="30" s="1"/>
  <c r="I23" i="30"/>
  <c r="J18" i="30"/>
  <c r="L18" i="30" s="1"/>
  <c r="I22" i="30"/>
  <c r="I14" i="30"/>
  <c r="J17" i="30"/>
  <c r="L17" i="30" s="1"/>
  <c r="I21" i="30"/>
  <c r="G21" i="30"/>
  <c r="M21" i="30" s="1"/>
  <c r="I20" i="30"/>
  <c r="I19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M15" i="30" l="1"/>
  <c r="O21" i="30"/>
  <c r="M18" i="30"/>
  <c r="M14" i="30"/>
  <c r="M17" i="30"/>
  <c r="M16" i="30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AS103" i="30"/>
  <c r="AZ103" i="30"/>
  <c r="AL103" i="30"/>
  <c r="U3" i="30"/>
  <c r="AW103" i="30"/>
  <c r="AR103" i="30"/>
  <c r="AQ103" i="30"/>
  <c r="Y103" i="30"/>
  <c r="AD103" i="30"/>
  <c r="AC103" i="30"/>
  <c r="AV103" i="30"/>
  <c r="U103" i="30"/>
  <c r="X103" i="30"/>
  <c r="W103" i="30"/>
  <c r="AA103" i="30"/>
  <c r="AG103" i="30"/>
  <c r="Z103" i="30"/>
  <c r="AU103" i="30"/>
  <c r="AK103" i="30"/>
  <c r="AO103" i="30"/>
  <c r="AX103" i="30"/>
  <c r="AP103" i="30"/>
  <c r="AE103" i="30"/>
  <c r="S103" i="30"/>
  <c r="R103" i="30"/>
  <c r="AB103" i="30"/>
  <c r="AY103" i="30"/>
  <c r="AN103" i="30"/>
  <c r="T103" i="30"/>
  <c r="V103" i="30"/>
  <c r="AM103" i="30"/>
  <c r="AF103" i="30"/>
  <c r="O20" i="30" l="1"/>
  <c r="O16" i="30"/>
  <c r="O19" i="30"/>
  <c r="O18" i="30"/>
  <c r="O14" i="30"/>
  <c r="O27" i="30"/>
  <c r="O28" i="30"/>
  <c r="O29" i="30"/>
  <c r="O24" i="30"/>
  <c r="O25" i="30"/>
  <c r="O22" i="30"/>
  <c r="O26" i="30"/>
  <c r="M23" i="30"/>
  <c r="O17" i="30"/>
  <c r="Q5" i="30"/>
  <c r="AJ5" i="30" s="1"/>
  <c r="AX3" i="30"/>
  <c r="AR6" i="30"/>
  <c r="AS6" i="30"/>
  <c r="AY3" i="30"/>
  <c r="AS5" i="30"/>
  <c r="AN3" i="30"/>
  <c r="AP5" i="30"/>
  <c r="AP6" i="30"/>
  <c r="AA3" i="30"/>
  <c r="AB6" i="30"/>
  <c r="Y3" i="30"/>
  <c r="AD4" i="30"/>
  <c r="AA5" i="30"/>
  <c r="R6" i="30"/>
  <c r="AE4" i="30"/>
  <c r="AP3" i="30"/>
  <c r="AO3" i="30"/>
  <c r="AG3" i="30"/>
  <c r="AK3" i="30"/>
  <c r="AK4" i="30"/>
  <c r="AS3" i="30"/>
  <c r="AX4" i="30"/>
  <c r="AY4" i="30"/>
  <c r="AN5" i="30"/>
  <c r="AL5" i="30"/>
  <c r="AQ4" i="30"/>
  <c r="Z6" i="30"/>
  <c r="R5" i="30"/>
  <c r="AA4" i="30"/>
  <c r="U6" i="30"/>
  <c r="W5" i="30"/>
  <c r="Y4" i="30"/>
  <c r="T6" i="30"/>
  <c r="AF3" i="30"/>
  <c r="Y5" i="30"/>
  <c r="AW3" i="30"/>
  <c r="X3" i="30"/>
  <c r="Z4" i="30"/>
  <c r="AZ3" i="30"/>
  <c r="AV6" i="30"/>
  <c r="AV4" i="30"/>
  <c r="AZ4" i="30"/>
  <c r="AY6" i="30"/>
  <c r="AO5" i="30"/>
  <c r="AO6" i="30"/>
  <c r="AQ3" i="30"/>
  <c r="R3" i="30"/>
  <c r="AC4" i="30"/>
  <c r="W4" i="30"/>
  <c r="AB5" i="30"/>
  <c r="AG5" i="30"/>
  <c r="S3" i="30"/>
  <c r="AT4" i="30"/>
  <c r="AU6" i="30"/>
  <c r="AU4" i="30"/>
  <c r="AU3" i="30"/>
  <c r="AX5" i="30"/>
  <c r="AL4" i="30"/>
  <c r="AM6" i="30"/>
  <c r="AQ6" i="30"/>
  <c r="T4" i="30"/>
  <c r="X6" i="30"/>
  <c r="AB4" i="30"/>
  <c r="V6" i="30"/>
  <c r="W3" i="30"/>
  <c r="AE3" i="30"/>
  <c r="Z5" i="30"/>
  <c r="AT103" i="30"/>
  <c r="AE5" i="30"/>
  <c r="AY5" i="30"/>
  <c r="AT5" i="30"/>
  <c r="AU5" i="30"/>
  <c r="AW5" i="30"/>
  <c r="AV5" i="30"/>
  <c r="AO4" i="30"/>
  <c r="AN4" i="30"/>
  <c r="AQ5" i="30"/>
  <c r="AF4" i="30"/>
  <c r="AC6" i="30"/>
  <c r="AD3" i="30"/>
  <c r="AG4" i="30"/>
  <c r="Z3" i="30"/>
  <c r="S5" i="30"/>
  <c r="AA6" i="30"/>
  <c r="AR3" i="30"/>
  <c r="S6" i="30"/>
  <c r="AR4" i="30"/>
  <c r="AS4" i="30"/>
  <c r="AZ5" i="30"/>
  <c r="AV3" i="30"/>
  <c r="AM3" i="30"/>
  <c r="AL6" i="30"/>
  <c r="AP4" i="30"/>
  <c r="V3" i="30"/>
  <c r="AC3" i="30"/>
  <c r="V4" i="30"/>
  <c r="T3" i="30"/>
  <c r="S4" i="30"/>
  <c r="AX6" i="30"/>
  <c r="AD6" i="30"/>
  <c r="AW4" i="30"/>
  <c r="AT3" i="30"/>
  <c r="AR5" i="30"/>
  <c r="AT6" i="30"/>
  <c r="AM4" i="30"/>
  <c r="AN6" i="30"/>
  <c r="AM5" i="30"/>
  <c r="AF5" i="30"/>
  <c r="AB3" i="30"/>
  <c r="AG6" i="30"/>
  <c r="V5" i="30"/>
  <c r="U5" i="30"/>
  <c r="AK5" i="30"/>
  <c r="AL3" i="30"/>
  <c r="U4" i="30"/>
  <c r="O23" i="30" l="1"/>
  <c r="O15" i="30"/>
  <c r="Q6" i="30"/>
  <c r="AJ6" i="30" s="1"/>
  <c r="AT7" i="30"/>
  <c r="AK6" i="30"/>
  <c r="AC7" i="30"/>
  <c r="AN7" i="30"/>
  <c r="X5" i="30"/>
  <c r="AD7" i="30"/>
  <c r="AV7" i="30"/>
  <c r="AO7" i="30"/>
  <c r="W7" i="30"/>
  <c r="AC5" i="30"/>
  <c r="AZ6" i="30"/>
  <c r="AD5" i="30"/>
  <c r="Y7" i="30"/>
  <c r="Z7" i="30"/>
  <c r="AU7" i="30"/>
  <c r="V7" i="30"/>
  <c r="AF7" i="30"/>
  <c r="W6" i="30"/>
  <c r="AB7" i="30"/>
  <c r="AW6" i="30"/>
  <c r="R4" i="30"/>
  <c r="AF6" i="30"/>
  <c r="X4" i="30"/>
  <c r="S7" i="30"/>
  <c r="AK7" i="30"/>
  <c r="T5" i="30"/>
  <c r="Y6" i="30"/>
  <c r="AE6" i="30"/>
  <c r="Q7" i="30" l="1"/>
  <c r="AJ7" i="30" s="1"/>
  <c r="AW7" i="30"/>
  <c r="AN8" i="30"/>
  <c r="AB8" i="30"/>
  <c r="S8" i="30"/>
  <c r="AT8" i="30"/>
  <c r="AS7" i="30"/>
  <c r="AL7" i="30"/>
  <c r="T8" i="30"/>
  <c r="AC8" i="30"/>
  <c r="AA7" i="30"/>
  <c r="AS8" i="30"/>
  <c r="AX7" i="30"/>
  <c r="AP7" i="30"/>
  <c r="AD8" i="30"/>
  <c r="U7" i="30"/>
  <c r="AY7" i="30"/>
  <c r="AZ8" i="30"/>
  <c r="AZ7" i="30"/>
  <c r="AL8" i="30"/>
  <c r="AF8" i="30"/>
  <c r="T7" i="30"/>
  <c r="AP8" i="30"/>
  <c r="AR8" i="30"/>
  <c r="AX8" i="30"/>
  <c r="AQ7" i="30"/>
  <c r="AE7" i="30"/>
  <c r="Y8" i="30"/>
  <c r="AG7" i="30"/>
  <c r="AV8" i="30"/>
  <c r="AO8" i="30"/>
  <c r="U8" i="30"/>
  <c r="AE8" i="30"/>
  <c r="AR7" i="30"/>
  <c r="AM7" i="30"/>
  <c r="R8" i="30"/>
  <c r="R7" i="30"/>
  <c r="X7" i="30"/>
  <c r="Q8" i="30" l="1"/>
  <c r="AJ8" i="30" s="1"/>
  <c r="AU9" i="30"/>
  <c r="AK8" i="30"/>
  <c r="AL9" i="30"/>
  <c r="W9" i="30"/>
  <c r="V8" i="30"/>
  <c r="U9" i="30"/>
  <c r="AT9" i="30"/>
  <c r="AQ8" i="30"/>
  <c r="Z8" i="30"/>
  <c r="AU8" i="30"/>
  <c r="AR9" i="30"/>
  <c r="AN9" i="30"/>
  <c r="AG8" i="30"/>
  <c r="AA9" i="30"/>
  <c r="Y9" i="30"/>
  <c r="AP9" i="30"/>
  <c r="AA8" i="30"/>
  <c r="W8" i="30"/>
  <c r="AK9" i="30"/>
  <c r="AY9" i="30"/>
  <c r="AO9" i="30"/>
  <c r="V9" i="30"/>
  <c r="X8" i="30"/>
  <c r="AC9" i="30"/>
  <c r="AY8" i="30"/>
  <c r="AB9" i="30"/>
  <c r="R9" i="30"/>
  <c r="AW9" i="30"/>
  <c r="AS9" i="30"/>
  <c r="AQ9" i="30"/>
  <c r="AE9" i="30"/>
  <c r="Z9" i="30"/>
  <c r="AW8" i="30"/>
  <c r="AX9" i="30"/>
  <c r="AG9" i="30"/>
  <c r="AV9" i="30"/>
  <c r="AM8" i="30"/>
  <c r="AD9" i="30"/>
  <c r="T9" i="30"/>
  <c r="S9" i="30"/>
  <c r="AZ9" i="30"/>
  <c r="AM9" i="30"/>
  <c r="X9" i="30"/>
  <c r="Q9" i="30" l="1"/>
  <c r="AJ9" i="30" s="1"/>
  <c r="S10" i="30"/>
  <c r="AF9" i="30"/>
  <c r="Q10" i="30" l="1"/>
  <c r="AJ10" i="30" s="1"/>
  <c r="AW10" i="30"/>
  <c r="W10" i="30"/>
  <c r="AT10" i="30"/>
  <c r="AV10" i="30"/>
  <c r="AY11" i="30"/>
  <c r="AO11" i="30"/>
  <c r="U10" i="30"/>
  <c r="V11" i="30"/>
  <c r="Z10" i="30"/>
  <c r="R10" i="30"/>
  <c r="AY10" i="30"/>
  <c r="AS10" i="30"/>
  <c r="AL10" i="30"/>
  <c r="AN10" i="30"/>
  <c r="AA11" i="30"/>
  <c r="AC11" i="30"/>
  <c r="Y10" i="30"/>
  <c r="AM10" i="30"/>
  <c r="AQ11" i="30"/>
  <c r="AF11" i="30"/>
  <c r="AP10" i="30"/>
  <c r="AG10" i="30"/>
  <c r="AR11" i="30"/>
  <c r="AV11" i="30"/>
  <c r="AM11" i="30"/>
  <c r="AQ10" i="30"/>
  <c r="V10" i="30"/>
  <c r="AG11" i="30"/>
  <c r="T11" i="30"/>
  <c r="AZ10" i="30"/>
  <c r="U11" i="30"/>
  <c r="AX10" i="30"/>
  <c r="Y11" i="30"/>
  <c r="AT11" i="30"/>
  <c r="AU10" i="30"/>
  <c r="AF10" i="30"/>
  <c r="AW11" i="30"/>
  <c r="AK10" i="30"/>
  <c r="AO10" i="30"/>
  <c r="Z11" i="30"/>
  <c r="AC10" i="30"/>
  <c r="AD10" i="30"/>
  <c r="T10" i="30"/>
  <c r="AR10" i="30"/>
  <c r="S11" i="30"/>
  <c r="AA10" i="30"/>
  <c r="AZ11" i="30"/>
  <c r="AU11" i="30"/>
  <c r="AN11" i="30"/>
  <c r="AE10" i="30"/>
  <c r="AD11" i="30"/>
  <c r="W11" i="30"/>
  <c r="AB10" i="30"/>
  <c r="AP11" i="30"/>
  <c r="AB11" i="30"/>
  <c r="X10" i="30"/>
  <c r="Q11" i="30" l="1"/>
  <c r="AJ11" i="30" s="1"/>
  <c r="AK11" i="30"/>
  <c r="AQ12" i="30"/>
  <c r="AS11" i="30"/>
  <c r="AW12" i="30"/>
  <c r="R12" i="30"/>
  <c r="AX12" i="30"/>
  <c r="V12" i="30"/>
  <c r="AE12" i="30"/>
  <c r="R11" i="30"/>
  <c r="AL12" i="30"/>
  <c r="S12" i="30"/>
  <c r="AN12" i="30"/>
  <c r="AX11" i="30"/>
  <c r="AL11" i="30"/>
  <c r="X11" i="30"/>
  <c r="AE11" i="30"/>
  <c r="AO12" i="30"/>
  <c r="Q12" i="30" l="1"/>
  <c r="AJ12" i="30" s="1"/>
  <c r="AY12" i="30"/>
  <c r="AA12" i="30"/>
  <c r="AG12" i="30"/>
  <c r="AS12" i="30"/>
  <c r="AN13" i="30"/>
  <c r="AB13" i="30"/>
  <c r="AB12" i="30"/>
  <c r="AZ12" i="30"/>
  <c r="AP12" i="30"/>
  <c r="S13" i="30"/>
  <c r="AV12" i="30"/>
  <c r="AM12" i="30"/>
  <c r="AD12" i="30"/>
  <c r="AU12" i="30"/>
  <c r="T12" i="30"/>
  <c r="U12" i="30"/>
  <c r="AK12" i="30"/>
  <c r="Z12" i="30"/>
  <c r="AC12" i="30"/>
  <c r="AT12" i="30"/>
  <c r="W12" i="30"/>
  <c r="Y12" i="30"/>
  <c r="AR12" i="30"/>
  <c r="X12" i="30"/>
  <c r="AF12" i="30"/>
  <c r="Q13" i="30" l="1"/>
  <c r="AJ13" i="30" s="1"/>
  <c r="AS14" i="30"/>
  <c r="AL13" i="30"/>
  <c r="R13" i="30"/>
  <c r="AE13" i="30"/>
  <c r="AV13" i="30"/>
  <c r="AX13" i="30"/>
  <c r="AM13" i="30"/>
  <c r="AF13" i="30"/>
  <c r="Z13" i="30"/>
  <c r="AK13" i="30"/>
  <c r="AW13" i="30"/>
  <c r="AP13" i="30"/>
  <c r="X14" i="30"/>
  <c r="U13" i="30"/>
  <c r="AG13" i="30"/>
  <c r="AU14" i="30"/>
  <c r="AZ14" i="30"/>
  <c r="AO13" i="30"/>
  <c r="W13" i="30"/>
  <c r="AD13" i="30"/>
  <c r="AR14" i="30"/>
  <c r="AR13" i="30"/>
  <c r="AP14" i="30"/>
  <c r="AG14" i="30"/>
  <c r="AB14" i="30"/>
  <c r="AY13" i="30"/>
  <c r="AZ13" i="30"/>
  <c r="AQ13" i="30"/>
  <c r="Y13" i="30"/>
  <c r="AC13" i="30"/>
  <c r="AV14" i="30"/>
  <c r="AU13" i="30"/>
  <c r="AA13" i="30"/>
  <c r="X13" i="30"/>
  <c r="T13" i="30"/>
  <c r="AT13" i="30"/>
  <c r="AS13" i="30"/>
  <c r="V13" i="30"/>
  <c r="S14" i="30"/>
  <c r="Q14" i="30" l="1"/>
  <c r="AJ14" i="30" s="1"/>
  <c r="AS15" i="30"/>
  <c r="AM14" i="30"/>
  <c r="AF14" i="30"/>
  <c r="AB15" i="30"/>
  <c r="R14" i="30"/>
  <c r="T15" i="30"/>
  <c r="S15" i="30"/>
  <c r="AX14" i="30"/>
  <c r="AT14" i="30"/>
  <c r="AO14" i="30"/>
  <c r="Z14" i="30"/>
  <c r="Y14" i="30"/>
  <c r="AG15" i="30"/>
  <c r="V15" i="30"/>
  <c r="AV15" i="30"/>
  <c r="AZ15" i="30"/>
  <c r="AN15" i="30"/>
  <c r="V14" i="30"/>
  <c r="AE15" i="30"/>
  <c r="W14" i="30"/>
  <c r="AL14" i="30"/>
  <c r="AY15" i="30"/>
  <c r="AX15" i="30"/>
  <c r="AN14" i="30"/>
  <c r="T14" i="30"/>
  <c r="Y15" i="30"/>
  <c r="U15" i="30"/>
  <c r="AW15" i="30"/>
  <c r="AK15" i="30"/>
  <c r="AK14" i="30"/>
  <c r="AM15" i="30"/>
  <c r="AA15" i="30"/>
  <c r="X15" i="30"/>
  <c r="AD15" i="30"/>
  <c r="AA14" i="30"/>
  <c r="AT15" i="30"/>
  <c r="AY14" i="30"/>
  <c r="AL15" i="30"/>
  <c r="AD14" i="30"/>
  <c r="AE14" i="30"/>
  <c r="AC15" i="30"/>
  <c r="Z15" i="30"/>
  <c r="AU15" i="30"/>
  <c r="AW14" i="30"/>
  <c r="AQ15" i="30"/>
  <c r="U14" i="30"/>
  <c r="W15" i="30"/>
  <c r="AC14" i="30"/>
  <c r="AQ14" i="30"/>
  <c r="Q15" i="30" l="1"/>
  <c r="AJ15" i="30" s="1"/>
  <c r="AY16" i="30"/>
  <c r="AR15" i="30"/>
  <c r="AO15" i="30"/>
  <c r="AP15" i="30"/>
  <c r="S16" i="30"/>
  <c r="R15" i="30"/>
  <c r="AF15" i="30"/>
  <c r="Q16" i="30" l="1"/>
  <c r="AJ16" i="30" s="1"/>
  <c r="AY17" i="30"/>
  <c r="AT16" i="30"/>
  <c r="AP16" i="30"/>
  <c r="AD16" i="30"/>
  <c r="U16" i="30"/>
  <c r="AS17" i="30"/>
  <c r="AF16" i="30"/>
  <c r="AO16" i="30"/>
  <c r="AZ16" i="30"/>
  <c r="AS16" i="30"/>
  <c r="AL17" i="30"/>
  <c r="AB16" i="30"/>
  <c r="V16" i="30"/>
  <c r="Y16" i="30"/>
  <c r="AE16" i="30"/>
  <c r="W16" i="30"/>
  <c r="AW16" i="30"/>
  <c r="AX16" i="30"/>
  <c r="AQ16" i="30"/>
  <c r="S17" i="30"/>
  <c r="AL16" i="30"/>
  <c r="AG16" i="30"/>
  <c r="AU16" i="30"/>
  <c r="AM16" i="30"/>
  <c r="AC16" i="30"/>
  <c r="Z16" i="30"/>
  <c r="AK16" i="30"/>
  <c r="AN16" i="30"/>
  <c r="AA16" i="30"/>
  <c r="AV16" i="30"/>
  <c r="AP17" i="30"/>
  <c r="R16" i="30"/>
  <c r="T16" i="30"/>
  <c r="AR16" i="30"/>
  <c r="X16" i="30"/>
  <c r="Q17" i="30" l="1"/>
  <c r="AJ17" i="30" s="1"/>
  <c r="AT17" i="30"/>
  <c r="AK18" i="30"/>
  <c r="AB17" i="30"/>
  <c r="AF17" i="30"/>
  <c r="V18" i="30"/>
  <c r="AM17" i="30"/>
  <c r="AB18" i="30"/>
  <c r="AW17" i="30"/>
  <c r="S18" i="30"/>
  <c r="AU17" i="30"/>
  <c r="Y17" i="30"/>
  <c r="U17" i="30"/>
  <c r="AN17" i="30"/>
  <c r="X18" i="30"/>
  <c r="AC17" i="30"/>
  <c r="AU18" i="30"/>
  <c r="AO18" i="30"/>
  <c r="Z17" i="30"/>
  <c r="V17" i="30"/>
  <c r="AR17" i="30"/>
  <c r="AO17" i="30"/>
  <c r="W17" i="30"/>
  <c r="AD18" i="30"/>
  <c r="AK17" i="30"/>
  <c r="AX17" i="30"/>
  <c r="AA18" i="30"/>
  <c r="AV17" i="30"/>
  <c r="AQ17" i="30"/>
  <c r="X17" i="30"/>
  <c r="AA17" i="30"/>
  <c r="AZ17" i="30"/>
  <c r="AG17" i="30"/>
  <c r="AE17" i="30"/>
  <c r="T17" i="30"/>
  <c r="AD17" i="30"/>
  <c r="R17" i="30"/>
  <c r="Q18" i="30" l="1"/>
  <c r="AJ18" i="30" s="1"/>
  <c r="AK19" i="30"/>
  <c r="Y18" i="30"/>
  <c r="AV19" i="30"/>
  <c r="AY19" i="30"/>
  <c r="AL19" i="30"/>
  <c r="AP19" i="30"/>
  <c r="AB19" i="30"/>
  <c r="U19" i="30"/>
  <c r="T18" i="30"/>
  <c r="AC19" i="30"/>
  <c r="AV18" i="30"/>
  <c r="AZ18" i="30"/>
  <c r="AM19" i="30"/>
  <c r="AQ19" i="30"/>
  <c r="AD19" i="30"/>
  <c r="X19" i="30"/>
  <c r="U18" i="30"/>
  <c r="AG18" i="30"/>
  <c r="AM18" i="30"/>
  <c r="AW18" i="30"/>
  <c r="AS19" i="30"/>
  <c r="AL18" i="30"/>
  <c r="AQ18" i="30"/>
  <c r="AG19" i="30"/>
  <c r="AF18" i="30"/>
  <c r="S19" i="30"/>
  <c r="AS18" i="30"/>
  <c r="AU19" i="30"/>
  <c r="AN18" i="30"/>
  <c r="W19" i="30"/>
  <c r="R18" i="30"/>
  <c r="AA19" i="30"/>
  <c r="AZ19" i="30"/>
  <c r="AY18" i="30"/>
  <c r="AT19" i="30"/>
  <c r="AX19" i="30"/>
  <c r="AO19" i="30"/>
  <c r="T19" i="30"/>
  <c r="Z19" i="30"/>
  <c r="W18" i="30"/>
  <c r="AR18" i="30"/>
  <c r="AP18" i="30"/>
  <c r="AF19" i="30"/>
  <c r="Z18" i="30"/>
  <c r="AT18" i="30"/>
  <c r="AX18" i="30"/>
  <c r="AN19" i="30"/>
  <c r="AE19" i="30"/>
  <c r="AE18" i="30"/>
  <c r="AC18" i="30"/>
  <c r="V19" i="30"/>
  <c r="R19" i="30"/>
  <c r="Q19" i="30" l="1"/>
  <c r="AJ19" i="30" s="1"/>
  <c r="AP20" i="30"/>
  <c r="Y19" i="30"/>
  <c r="AU20" i="30"/>
  <c r="AM20" i="30"/>
  <c r="S20" i="30"/>
  <c r="AV20" i="30"/>
  <c r="AN20" i="30"/>
  <c r="AG20" i="30"/>
  <c r="AE20" i="30"/>
  <c r="AT20" i="30"/>
  <c r="AL20" i="30"/>
  <c r="AA20" i="30"/>
  <c r="AQ20" i="30"/>
  <c r="AY20" i="30"/>
  <c r="AF20" i="30"/>
  <c r="AW19" i="30"/>
  <c r="AC20" i="30"/>
  <c r="AB20" i="30"/>
  <c r="AX20" i="30"/>
  <c r="Y20" i="30"/>
  <c r="T20" i="30"/>
  <c r="R20" i="30"/>
  <c r="AR19" i="30"/>
  <c r="Z20" i="30"/>
  <c r="U20" i="30"/>
  <c r="Q20" i="30" l="1"/>
  <c r="AJ20" i="30" s="1"/>
  <c r="AZ20" i="30"/>
  <c r="W20" i="30"/>
  <c r="X20" i="30"/>
  <c r="AS20" i="30"/>
  <c r="AW20" i="30"/>
  <c r="V20" i="30"/>
  <c r="AK20" i="30"/>
  <c r="S21" i="30"/>
  <c r="AO20" i="30"/>
  <c r="AP21" i="30"/>
  <c r="AM21" i="30"/>
  <c r="AR20" i="30"/>
  <c r="AD20" i="30"/>
  <c r="Q21" i="30" l="1"/>
  <c r="AJ21" i="30" s="1"/>
  <c r="AW21" i="30"/>
  <c r="AE21" i="30"/>
  <c r="AG21" i="30"/>
  <c r="R21" i="30"/>
  <c r="AX21" i="30"/>
  <c r="AZ21" i="30"/>
  <c r="AK21" i="30"/>
  <c r="AA21" i="30"/>
  <c r="AQ21" i="30"/>
  <c r="AV21" i="30"/>
  <c r="AU21" i="30"/>
  <c r="AS21" i="30"/>
  <c r="Z21" i="30"/>
  <c r="T21" i="30"/>
  <c r="AN21" i="30"/>
  <c r="AD21" i="30"/>
  <c r="AO21" i="30"/>
  <c r="AL21" i="30"/>
  <c r="AF21" i="30"/>
  <c r="S22" i="30"/>
  <c r="AC21" i="30"/>
  <c r="AT21" i="30"/>
  <c r="Y21" i="30"/>
  <c r="V21" i="30"/>
  <c r="W21" i="30"/>
  <c r="AB21" i="30"/>
  <c r="U21" i="30"/>
  <c r="AY21" i="30"/>
  <c r="AR21" i="30"/>
  <c r="X21" i="30"/>
  <c r="Q22" i="30" l="1"/>
  <c r="AJ22" i="30" s="1"/>
  <c r="AX22" i="30"/>
  <c r="AL23" i="30"/>
  <c r="AQ22" i="30"/>
  <c r="Y22" i="30"/>
  <c r="U23" i="30"/>
  <c r="AC22" i="30"/>
  <c r="T23" i="30"/>
  <c r="AE22" i="30"/>
  <c r="AV22" i="30"/>
  <c r="AT23" i="30"/>
  <c r="AL22" i="30"/>
  <c r="X22" i="30"/>
  <c r="U22" i="30"/>
  <c r="Z22" i="30"/>
  <c r="AT22" i="30"/>
  <c r="AU23" i="30"/>
  <c r="AM22" i="30"/>
  <c r="W22" i="30"/>
  <c r="AA22" i="30"/>
  <c r="V22" i="30"/>
  <c r="S23" i="30"/>
  <c r="AK22" i="30"/>
  <c r="AS23" i="30"/>
  <c r="AP22" i="30"/>
  <c r="AF22" i="30"/>
  <c r="X23" i="30"/>
  <c r="AD23" i="30"/>
  <c r="T22" i="30"/>
  <c r="AW22" i="30"/>
  <c r="AV23" i="30"/>
  <c r="AO22" i="30"/>
  <c r="AG23" i="30"/>
  <c r="AA23" i="30"/>
  <c r="AR22" i="30"/>
  <c r="AQ23" i="30"/>
  <c r="AY23" i="30"/>
  <c r="AS22" i="30"/>
  <c r="AN22" i="30"/>
  <c r="AG22" i="30"/>
  <c r="AB22" i="30"/>
  <c r="R22" i="30"/>
  <c r="AB23" i="30"/>
  <c r="AU22" i="30"/>
  <c r="AZ22" i="30"/>
  <c r="AO23" i="30"/>
  <c r="AC23" i="30"/>
  <c r="V23" i="30"/>
  <c r="AD22" i="30"/>
  <c r="AY22" i="30"/>
  <c r="AF23" i="30"/>
  <c r="Q23" i="30" l="1"/>
  <c r="AJ23" i="30" s="1"/>
  <c r="AR23" i="30"/>
  <c r="AM23" i="30"/>
  <c r="V24" i="30"/>
  <c r="Z23" i="30"/>
  <c r="Z24" i="30"/>
  <c r="AX24" i="30"/>
  <c r="AK23" i="30"/>
  <c r="AP23" i="30"/>
  <c r="W24" i="30"/>
  <c r="Y23" i="30"/>
  <c r="AG24" i="30"/>
  <c r="AR24" i="30"/>
  <c r="W23" i="30"/>
  <c r="AW23" i="30"/>
  <c r="AW24" i="30"/>
  <c r="AN24" i="30"/>
  <c r="R24" i="30"/>
  <c r="AE23" i="30"/>
  <c r="T24" i="30"/>
  <c r="AE24" i="30"/>
  <c r="AL24" i="30"/>
  <c r="AY24" i="30"/>
  <c r="AZ23" i="30"/>
  <c r="AN23" i="30"/>
  <c r="S24" i="30"/>
  <c r="X24" i="30"/>
  <c r="AK24" i="30"/>
  <c r="U24" i="30"/>
  <c r="R23" i="30"/>
  <c r="AU24" i="30"/>
  <c r="AX23" i="30"/>
  <c r="AP24" i="30"/>
  <c r="AO24" i="30"/>
  <c r="AS24" i="30"/>
  <c r="AV24" i="30"/>
  <c r="AT24" i="30"/>
  <c r="AZ24" i="30"/>
  <c r="AQ24" i="30"/>
  <c r="AC24" i="30"/>
  <c r="AA24" i="30"/>
  <c r="Q24" i="30" l="1"/>
  <c r="AJ24" i="30" s="1"/>
  <c r="X25" i="30"/>
  <c r="AD25" i="30"/>
  <c r="AF24" i="30"/>
  <c r="AC25" i="30"/>
  <c r="AM24" i="30"/>
  <c r="T25" i="30"/>
  <c r="AB24" i="30"/>
  <c r="AU25" i="30"/>
  <c r="W25" i="30"/>
  <c r="Y24" i="30"/>
  <c r="AT25" i="30"/>
  <c r="AD24" i="30"/>
  <c r="AK25" i="30"/>
  <c r="AP25" i="30"/>
  <c r="S25" i="30"/>
  <c r="AB25" i="30"/>
  <c r="Y25" i="30"/>
  <c r="Q25" i="30" l="1"/>
  <c r="AJ25" i="30" s="1"/>
  <c r="AS25" i="30"/>
  <c r="AX25" i="30"/>
  <c r="AL26" i="30"/>
  <c r="U26" i="30"/>
  <c r="AG26" i="30"/>
  <c r="AV25" i="30"/>
  <c r="AX26" i="30"/>
  <c r="AM25" i="30"/>
  <c r="AL25" i="30"/>
  <c r="X26" i="30"/>
  <c r="AR25" i="30"/>
  <c r="AR26" i="30"/>
  <c r="AP26" i="30"/>
  <c r="AQ25" i="30"/>
  <c r="Z26" i="30"/>
  <c r="AG25" i="30"/>
  <c r="AV26" i="30"/>
  <c r="AK26" i="30"/>
  <c r="AN25" i="30"/>
  <c r="AQ26" i="30"/>
  <c r="T26" i="30"/>
  <c r="AF25" i="30"/>
  <c r="AA26" i="30"/>
  <c r="AY25" i="30"/>
  <c r="AW25" i="30"/>
  <c r="AM26" i="30"/>
  <c r="V25" i="30"/>
  <c r="R25" i="30"/>
  <c r="Y26" i="30"/>
  <c r="W26" i="30"/>
  <c r="AZ25" i="30"/>
  <c r="AW26" i="30"/>
  <c r="AO26" i="30"/>
  <c r="AF26" i="30"/>
  <c r="U25" i="30"/>
  <c r="AE25" i="30"/>
  <c r="AS26" i="30"/>
  <c r="AT26" i="30"/>
  <c r="AN26" i="30"/>
  <c r="V26" i="30"/>
  <c r="AD26" i="30"/>
  <c r="S26" i="30"/>
  <c r="AU26" i="30"/>
  <c r="AY26" i="30"/>
  <c r="AO25" i="30"/>
  <c r="AA25" i="30"/>
  <c r="R26" i="30"/>
  <c r="Z25" i="30"/>
  <c r="AE26" i="30"/>
  <c r="Q26" i="30" l="1"/>
  <c r="AJ26" i="30" s="1"/>
  <c r="AZ26" i="30"/>
  <c r="S27" i="30"/>
  <c r="AB26" i="30"/>
  <c r="AC26" i="30"/>
  <c r="Q27" i="30" l="1"/>
  <c r="AJ27" i="30" s="1"/>
  <c r="AX28" i="30"/>
  <c r="AW27" i="30"/>
  <c r="AO28" i="30"/>
  <c r="U27" i="30"/>
  <c r="V28" i="30"/>
  <c r="AB28" i="30"/>
  <c r="AM27" i="30"/>
  <c r="Z28" i="30"/>
  <c r="AY27" i="30"/>
  <c r="AG27" i="30"/>
  <c r="R27" i="30"/>
  <c r="AX27" i="30"/>
  <c r="AE27" i="30"/>
  <c r="AL27" i="30"/>
  <c r="X27" i="30"/>
  <c r="AW28" i="30"/>
  <c r="AR27" i="30"/>
  <c r="AP27" i="30"/>
  <c r="Z27" i="30"/>
  <c r="AF28" i="30"/>
  <c r="AC27" i="30"/>
  <c r="AS28" i="30"/>
  <c r="AF27" i="30"/>
  <c r="S28" i="30"/>
  <c r="AN27" i="30"/>
  <c r="AK27" i="30"/>
  <c r="AP28" i="30"/>
  <c r="Y27" i="30"/>
  <c r="AT27" i="30"/>
  <c r="T27" i="30"/>
  <c r="AU28" i="30"/>
  <c r="W27" i="30"/>
  <c r="AK28" i="30"/>
  <c r="V27" i="30"/>
  <c r="AZ27" i="30"/>
  <c r="AS27" i="30"/>
  <c r="AO27" i="30"/>
  <c r="AB27" i="30"/>
  <c r="AD27" i="30"/>
  <c r="AU27" i="30"/>
  <c r="AL28" i="30"/>
  <c r="AQ27" i="30"/>
  <c r="AA27" i="30"/>
  <c r="AE28" i="30"/>
  <c r="AV27" i="30"/>
  <c r="Q28" i="30" l="1"/>
  <c r="AJ28" i="30" s="1"/>
  <c r="AR28" i="30"/>
  <c r="AL29" i="30"/>
  <c r="AG28" i="30"/>
  <c r="V29" i="30"/>
  <c r="AF29" i="30"/>
  <c r="AV28" i="30"/>
  <c r="AT28" i="30"/>
  <c r="AN28" i="30"/>
  <c r="X28" i="30"/>
  <c r="AC28" i="30"/>
  <c r="AA29" i="30"/>
  <c r="AV29" i="30"/>
  <c r="AY28" i="30"/>
  <c r="AP29" i="30"/>
  <c r="Z29" i="30"/>
  <c r="AD29" i="30"/>
  <c r="R29" i="30"/>
  <c r="U28" i="30"/>
  <c r="AY29" i="30"/>
  <c r="AX29" i="30"/>
  <c r="AO29" i="30"/>
  <c r="AC29" i="30"/>
  <c r="AE29" i="30"/>
  <c r="R28" i="30"/>
  <c r="AR29" i="30"/>
  <c r="AK29" i="30"/>
  <c r="AN29" i="30"/>
  <c r="W28" i="30"/>
  <c r="AG29" i="30"/>
  <c r="T29" i="30"/>
  <c r="AZ28" i="30"/>
  <c r="AW29" i="30"/>
  <c r="AM29" i="30"/>
  <c r="AB29" i="30"/>
  <c r="X29" i="30"/>
  <c r="Y28" i="30"/>
  <c r="AU29" i="30"/>
  <c r="AZ29" i="30"/>
  <c r="AQ28" i="30"/>
  <c r="AD28" i="30"/>
  <c r="AA28" i="30"/>
  <c r="U29" i="30"/>
  <c r="AT29" i="30"/>
  <c r="AM28" i="30"/>
  <c r="AQ29" i="30"/>
  <c r="S29" i="30"/>
  <c r="W29" i="30"/>
  <c r="T28" i="30"/>
  <c r="Q29" i="30" l="1"/>
  <c r="AJ29" i="30" s="1"/>
  <c r="Y29" i="30"/>
  <c r="AS29" i="30"/>
  <c r="S30" i="30"/>
  <c r="Q30" i="30" l="1"/>
  <c r="AJ30" i="30" s="1"/>
  <c r="AK31" i="30"/>
  <c r="AK30" i="30"/>
  <c r="AM30" i="30"/>
  <c r="Y30" i="30"/>
  <c r="U30" i="30"/>
  <c r="R30" i="30"/>
  <c r="AN30" i="30"/>
  <c r="S31" i="30"/>
  <c r="AP31" i="30"/>
  <c r="AS31" i="30"/>
  <c r="AT31" i="30"/>
  <c r="AX30" i="30"/>
  <c r="AP30" i="30"/>
  <c r="Z30" i="30"/>
  <c r="T31" i="30"/>
  <c r="U31" i="30"/>
  <c r="AE31" i="30"/>
  <c r="AV31" i="30"/>
  <c r="Y31" i="30"/>
  <c r="X30" i="30"/>
  <c r="AY30" i="30"/>
  <c r="AS30" i="30"/>
  <c r="AU30" i="30"/>
  <c r="AO30" i="30"/>
  <c r="AC30" i="30"/>
  <c r="AA30" i="30"/>
  <c r="AV30" i="30"/>
  <c r="V31" i="30"/>
  <c r="AZ30" i="30"/>
  <c r="AX31" i="30"/>
  <c r="AR30" i="30"/>
  <c r="AL30" i="30"/>
  <c r="T30" i="30"/>
  <c r="Z31" i="30"/>
  <c r="AC31" i="30"/>
  <c r="AT30" i="30"/>
  <c r="AM31" i="30"/>
  <c r="AB30" i="30"/>
  <c r="AE30" i="30"/>
  <c r="AY31" i="30"/>
  <c r="AR31" i="30"/>
  <c r="AN31" i="30"/>
  <c r="AQ31" i="30"/>
  <c r="AG31" i="30"/>
  <c r="AG30" i="30"/>
  <c r="AD31" i="30"/>
  <c r="AF30" i="30"/>
  <c r="AD30" i="30"/>
  <c r="AW30" i="30"/>
  <c r="V30" i="30"/>
  <c r="AU31" i="30"/>
  <c r="AQ30" i="30"/>
  <c r="X31" i="30"/>
  <c r="W30" i="30"/>
  <c r="AZ31" i="30"/>
  <c r="Q31" i="30" l="1"/>
  <c r="AJ31" i="30" s="1"/>
  <c r="AL31" i="30"/>
  <c r="AX32" i="30"/>
  <c r="AL32" i="30"/>
  <c r="X32" i="30"/>
  <c r="Y32" i="30"/>
  <c r="AW31" i="30"/>
  <c r="AQ32" i="30"/>
  <c r="AG32" i="30"/>
  <c r="T32" i="30"/>
  <c r="W32" i="30"/>
  <c r="AR32" i="30"/>
  <c r="AP32" i="30"/>
  <c r="V32" i="30"/>
  <c r="R32" i="30"/>
  <c r="AF31" i="30"/>
  <c r="AB31" i="30"/>
  <c r="AM32" i="30"/>
  <c r="Z32" i="30"/>
  <c r="AV32" i="30"/>
  <c r="S32" i="30"/>
  <c r="AN32" i="30"/>
  <c r="W31" i="30"/>
  <c r="R31" i="30"/>
  <c r="AO31" i="30"/>
  <c r="AA32" i="30"/>
  <c r="AA31" i="30"/>
  <c r="Q32" i="30" l="1"/>
  <c r="AJ32" i="30" s="1"/>
  <c r="AT33" i="30"/>
  <c r="AS33" i="30"/>
  <c r="Y33" i="30"/>
  <c r="AG33" i="30"/>
  <c r="AO32" i="30"/>
  <c r="AY32" i="30"/>
  <c r="AK32" i="30"/>
  <c r="AW33" i="30"/>
  <c r="AB32" i="30"/>
  <c r="AC33" i="30"/>
  <c r="AC32" i="30"/>
  <c r="AB33" i="30"/>
  <c r="Z33" i="30"/>
  <c r="AU33" i="30"/>
  <c r="AS32" i="30"/>
  <c r="AL33" i="30"/>
  <c r="T33" i="30"/>
  <c r="U33" i="30"/>
  <c r="AD32" i="30"/>
  <c r="AN33" i="30"/>
  <c r="S33" i="30"/>
  <c r="AX33" i="30"/>
  <c r="AK33" i="30"/>
  <c r="AP33" i="30"/>
  <c r="AF32" i="30"/>
  <c r="AD33" i="30"/>
  <c r="AR33" i="30"/>
  <c r="AT32" i="30"/>
  <c r="AU32" i="30"/>
  <c r="AO33" i="30"/>
  <c r="U32" i="30"/>
  <c r="AE33" i="30"/>
  <c r="AZ33" i="30"/>
  <c r="AW32" i="30"/>
  <c r="AZ32" i="30"/>
  <c r="AV33" i="30"/>
  <c r="AY33" i="30"/>
  <c r="AQ33" i="30"/>
  <c r="AA33" i="30"/>
  <c r="AE32" i="30"/>
  <c r="AF33" i="30"/>
  <c r="V33" i="30"/>
  <c r="Q33" i="30" l="1"/>
  <c r="AJ33" i="30" s="1"/>
  <c r="AM33" i="30"/>
  <c r="R33" i="30"/>
  <c r="X33" i="30"/>
  <c r="W33" i="30"/>
  <c r="T34" i="30"/>
  <c r="S34" i="30"/>
  <c r="Q34" i="30" l="1"/>
  <c r="AJ34" i="30" s="1"/>
  <c r="AW35" i="30"/>
  <c r="AK35" i="30"/>
  <c r="AM35" i="30"/>
  <c r="AQ35" i="30"/>
  <c r="Z35" i="30"/>
  <c r="U34" i="30"/>
  <c r="AG34" i="30"/>
  <c r="AV34" i="30"/>
  <c r="AX35" i="30"/>
  <c r="AA34" i="30"/>
  <c r="AZ34" i="30"/>
  <c r="AU34" i="30"/>
  <c r="AW34" i="30"/>
  <c r="AO35" i="30"/>
  <c r="R35" i="30"/>
  <c r="AF34" i="30"/>
  <c r="AE34" i="30"/>
  <c r="AF35" i="30"/>
  <c r="AK34" i="30"/>
  <c r="W34" i="30"/>
  <c r="Y35" i="30"/>
  <c r="AY34" i="30"/>
  <c r="AR34" i="30"/>
  <c r="AO34" i="30"/>
  <c r="U35" i="30"/>
  <c r="AU35" i="30"/>
  <c r="AT35" i="30"/>
  <c r="AX34" i="30"/>
  <c r="AP34" i="30"/>
  <c r="Y34" i="30"/>
  <c r="R34" i="30"/>
  <c r="V35" i="30"/>
  <c r="X35" i="30"/>
  <c r="AB34" i="30"/>
  <c r="AG35" i="30"/>
  <c r="AS35" i="30"/>
  <c r="AS34" i="30"/>
  <c r="AP35" i="30"/>
  <c r="AN35" i="30"/>
  <c r="V34" i="30"/>
  <c r="T35" i="30"/>
  <c r="AZ35" i="30"/>
  <c r="AR35" i="30"/>
  <c r="AL34" i="30"/>
  <c r="AM34" i="30"/>
  <c r="AB35" i="30"/>
  <c r="AC35" i="30"/>
  <c r="AD35" i="30"/>
  <c r="W35" i="30"/>
  <c r="AT34" i="30"/>
  <c r="S35" i="30"/>
  <c r="X34" i="30"/>
  <c r="AY35" i="30"/>
  <c r="AV35" i="30"/>
  <c r="AL35" i="30"/>
  <c r="AQ34" i="30"/>
  <c r="AD34" i="30"/>
  <c r="AA35" i="30"/>
  <c r="Z34" i="30"/>
  <c r="AC34" i="30"/>
  <c r="AN34" i="30"/>
  <c r="AE35" i="30"/>
  <c r="Q35" i="30" l="1"/>
  <c r="AJ35" i="30" s="1"/>
  <c r="AX36" i="30"/>
  <c r="AQ36" i="30"/>
  <c r="Y36" i="30"/>
  <c r="AC36" i="30"/>
  <c r="AU36" i="30"/>
  <c r="AY36" i="30"/>
  <c r="U36" i="30"/>
  <c r="AE36" i="30"/>
  <c r="AR36" i="30"/>
  <c r="AZ36" i="30"/>
  <c r="AG36" i="30"/>
  <c r="W36" i="30"/>
  <c r="AV36" i="30"/>
  <c r="AO36" i="30"/>
  <c r="AD36" i="30"/>
  <c r="X36" i="30"/>
  <c r="AS36" i="30"/>
  <c r="AN36" i="30"/>
  <c r="AB36" i="30"/>
  <c r="R36" i="30"/>
  <c r="AT36" i="30"/>
  <c r="AM36" i="30"/>
  <c r="Z36" i="30"/>
  <c r="AF36" i="30"/>
  <c r="AK36" i="30"/>
  <c r="AP36" i="30"/>
  <c r="V36" i="30"/>
  <c r="S36" i="30"/>
  <c r="AW36" i="30"/>
  <c r="AL36" i="30"/>
  <c r="AA36" i="30"/>
  <c r="T36" i="30"/>
  <c r="Q36" i="30" l="1"/>
  <c r="AJ36" i="30" s="1"/>
  <c r="AY37" i="30"/>
  <c r="AQ37" i="30"/>
  <c r="S37" i="30"/>
  <c r="R37" i="30"/>
  <c r="AV37" i="30"/>
  <c r="AZ37" i="30"/>
  <c r="X37" i="30"/>
  <c r="Z37" i="30"/>
  <c r="AU37" i="30"/>
  <c r="AX37" i="30"/>
  <c r="V37" i="30"/>
  <c r="AD37" i="30"/>
  <c r="AP37" i="30"/>
  <c r="AW37" i="30"/>
  <c r="AO37" i="30"/>
  <c r="AB37" i="30"/>
  <c r="AC37" i="30"/>
  <c r="AG37" i="30"/>
  <c r="AR37" i="30"/>
  <c r="AL37" i="30"/>
  <c r="Y37" i="30"/>
  <c r="T37" i="30"/>
  <c r="AS37" i="30"/>
  <c r="AT37" i="30"/>
  <c r="AM37" i="30"/>
  <c r="W37" i="30"/>
  <c r="AF37" i="30"/>
  <c r="AE37" i="30"/>
  <c r="AK37" i="30"/>
  <c r="AN37" i="30"/>
  <c r="AA37" i="30"/>
  <c r="U37" i="30"/>
  <c r="Q37" i="30" l="1"/>
  <c r="AJ37" i="30" s="1"/>
  <c r="AK38" i="30"/>
  <c r="AQ38" i="30"/>
  <c r="AB38" i="30"/>
  <c r="AG38" i="30"/>
  <c r="AT38" i="30"/>
  <c r="AX38" i="30"/>
  <c r="AD38" i="30"/>
  <c r="AF38" i="30"/>
  <c r="AY38" i="30"/>
  <c r="AW38" i="30"/>
  <c r="S38" i="30"/>
  <c r="T38" i="30"/>
  <c r="AV38" i="30"/>
  <c r="AL38" i="30"/>
  <c r="Z38" i="30"/>
  <c r="Y38" i="30"/>
  <c r="V38" i="30"/>
  <c r="AR38" i="30"/>
  <c r="AM38" i="30"/>
  <c r="U38" i="30"/>
  <c r="AC38" i="30"/>
  <c r="AZ38" i="30"/>
  <c r="AN38" i="30"/>
  <c r="W38" i="30"/>
  <c r="X38" i="30"/>
  <c r="AU38" i="30"/>
  <c r="AO38" i="30"/>
  <c r="AA38" i="30"/>
  <c r="R38" i="30"/>
  <c r="AE38" i="30"/>
  <c r="AS38" i="30"/>
  <c r="AP38" i="30"/>
  <c r="Q38" i="30" l="1"/>
  <c r="AJ38" i="30" s="1"/>
  <c r="AT39" i="30"/>
  <c r="AQ39" i="30"/>
  <c r="AE39" i="30"/>
  <c r="AB39" i="30"/>
  <c r="AR39" i="30"/>
  <c r="AU39" i="30"/>
  <c r="U39" i="30"/>
  <c r="T39" i="30"/>
  <c r="AL39" i="30"/>
  <c r="AY39" i="30"/>
  <c r="AS39" i="30"/>
  <c r="S39" i="30"/>
  <c r="W39" i="30"/>
  <c r="X39" i="30"/>
  <c r="AZ39" i="30"/>
  <c r="AO39" i="30"/>
  <c r="AD39" i="30"/>
  <c r="Z39" i="30"/>
  <c r="AV39" i="30"/>
  <c r="AK39" i="30"/>
  <c r="AM39" i="30"/>
  <c r="R39" i="30"/>
  <c r="AC39" i="30"/>
  <c r="Y39" i="30"/>
  <c r="AX39" i="30"/>
  <c r="AP39" i="30"/>
  <c r="V39" i="30"/>
  <c r="AF39" i="30"/>
  <c r="AW39" i="30"/>
  <c r="AN39" i="30"/>
  <c r="AA39" i="30"/>
  <c r="AG39" i="30"/>
  <c r="Q39" i="30" l="1"/>
  <c r="AJ39" i="30" s="1"/>
  <c r="AU40" i="30"/>
  <c r="AQ40" i="30"/>
  <c r="X40" i="30"/>
  <c r="V40" i="30"/>
  <c r="AT40" i="30"/>
  <c r="AZ40" i="30"/>
  <c r="AK40" i="30"/>
  <c r="AX40" i="30"/>
  <c r="W40" i="30"/>
  <c r="AG40" i="30"/>
  <c r="AM40" i="30"/>
  <c r="AY40" i="30"/>
  <c r="AO40" i="30"/>
  <c r="S40" i="30"/>
  <c r="Y40" i="30"/>
  <c r="AF40" i="30"/>
  <c r="AS40" i="30"/>
  <c r="AN40" i="30"/>
  <c r="AB40" i="30"/>
  <c r="AA40" i="30"/>
  <c r="AD40" i="30"/>
  <c r="AW40" i="30"/>
  <c r="Z40" i="30"/>
  <c r="AV40" i="30"/>
  <c r="AP40" i="30"/>
  <c r="R40" i="30"/>
  <c r="T40" i="30"/>
  <c r="AE40" i="30"/>
  <c r="AR40" i="30"/>
  <c r="AL40" i="30"/>
  <c r="AC40" i="30"/>
  <c r="U40" i="30"/>
  <c r="Q40" i="30" l="1"/>
  <c r="AJ40" i="30" s="1"/>
  <c r="AZ41" i="30"/>
  <c r="AQ41" i="30"/>
  <c r="S41" i="30"/>
  <c r="X41" i="30"/>
  <c r="AS41" i="30"/>
  <c r="AT41" i="30"/>
  <c r="U41" i="30"/>
  <c r="Z41" i="30"/>
  <c r="AR41" i="30"/>
  <c r="AV41" i="30"/>
  <c r="T41" i="30"/>
  <c r="R41" i="30"/>
  <c r="AL41" i="30"/>
  <c r="AY41" i="30"/>
  <c r="AO41" i="30"/>
  <c r="V41" i="30"/>
  <c r="AE41" i="30"/>
  <c r="AD41" i="30"/>
  <c r="AU41" i="30"/>
  <c r="AN41" i="30"/>
  <c r="AC41" i="30"/>
  <c r="AB41" i="30"/>
  <c r="Y41" i="30"/>
  <c r="AW41" i="30"/>
  <c r="AP41" i="30"/>
  <c r="AG41" i="30"/>
  <c r="W41" i="30"/>
  <c r="AK41" i="30"/>
  <c r="AX41" i="30"/>
  <c r="AM41" i="30"/>
  <c r="AF41" i="30"/>
  <c r="AA41" i="30"/>
  <c r="Q41" i="30" l="1"/>
  <c r="AJ41" i="30" s="1"/>
  <c r="AW42" i="30"/>
  <c r="AQ42" i="30"/>
  <c r="R42" i="30"/>
  <c r="W42" i="30"/>
  <c r="AU42" i="30"/>
  <c r="AE42" i="30"/>
  <c r="AX42" i="30"/>
  <c r="AS42" i="30"/>
  <c r="S42" i="30"/>
  <c r="U42" i="30"/>
  <c r="AY42" i="30"/>
  <c r="AZ42" i="30"/>
  <c r="Y42" i="30"/>
  <c r="AG42" i="30"/>
  <c r="AN42" i="30"/>
  <c r="AR42" i="30"/>
  <c r="AO42" i="30"/>
  <c r="Z42" i="30"/>
  <c r="AD42" i="30"/>
  <c r="T42" i="30"/>
  <c r="AT42" i="30"/>
  <c r="AM42" i="30"/>
  <c r="AB42" i="30"/>
  <c r="AF42" i="30"/>
  <c r="AK42" i="30"/>
  <c r="AP42" i="30"/>
  <c r="V42" i="30"/>
  <c r="AC42" i="30"/>
  <c r="AA42" i="30"/>
  <c r="AV42" i="30"/>
  <c r="AL42" i="30"/>
  <c r="X42" i="30"/>
  <c r="Q42" i="30" l="1"/>
  <c r="AJ42" i="30" s="1"/>
  <c r="AX43" i="30"/>
  <c r="AQ43" i="30"/>
  <c r="V43" i="30"/>
  <c r="W43" i="30"/>
  <c r="AL43" i="30"/>
  <c r="AF43" i="30"/>
  <c r="AK43" i="30"/>
  <c r="AP43" i="30"/>
  <c r="T43" i="30"/>
  <c r="AE43" i="30"/>
  <c r="AS43" i="30"/>
  <c r="AW43" i="30"/>
  <c r="AB43" i="30"/>
  <c r="AA43" i="30"/>
  <c r="AD43" i="30"/>
  <c r="AG43" i="30"/>
  <c r="Y43" i="30"/>
  <c r="AV43" i="30"/>
  <c r="AR43" i="30"/>
  <c r="U43" i="30"/>
  <c r="AT43" i="30"/>
  <c r="AC43" i="30"/>
  <c r="AU43" i="30"/>
  <c r="AO43" i="30"/>
  <c r="X43" i="30"/>
  <c r="Z43" i="30"/>
  <c r="AZ43" i="30"/>
  <c r="AN43" i="30"/>
  <c r="R43" i="30"/>
  <c r="S43" i="30"/>
  <c r="AY43" i="30"/>
  <c r="AM43" i="30"/>
  <c r="Q43" i="30" l="1"/>
  <c r="AJ43" i="30" s="1"/>
  <c r="AY44" i="30"/>
  <c r="AQ44" i="30"/>
  <c r="Z44" i="30"/>
  <c r="AG44" i="30"/>
  <c r="AZ44" i="30"/>
  <c r="AU44" i="30"/>
  <c r="V44" i="30"/>
  <c r="AA44" i="30"/>
  <c r="AR44" i="30"/>
  <c r="AK44" i="30"/>
  <c r="W44" i="30"/>
  <c r="AD44" i="30"/>
  <c r="AW44" i="30"/>
  <c r="AL44" i="30"/>
  <c r="U44" i="30"/>
  <c r="AB44" i="30"/>
  <c r="AV44" i="30"/>
  <c r="AM44" i="30"/>
  <c r="X44" i="30"/>
  <c r="AF44" i="30"/>
  <c r="AT44" i="30"/>
  <c r="AN44" i="30"/>
  <c r="R44" i="30"/>
  <c r="AE44" i="30"/>
  <c r="AS44" i="30"/>
  <c r="AO44" i="30"/>
  <c r="Y44" i="30"/>
  <c r="T44" i="30"/>
  <c r="AX44" i="30"/>
  <c r="AP44" i="30"/>
  <c r="S44" i="30"/>
  <c r="AC44" i="30"/>
  <c r="Q44" i="30" l="1"/>
  <c r="AJ44" i="30" s="1"/>
  <c r="AW45" i="30"/>
  <c r="AQ45" i="30"/>
  <c r="AA45" i="30"/>
  <c r="Y45" i="30"/>
  <c r="AX45" i="30"/>
  <c r="AK45" i="30"/>
  <c r="Z45" i="30"/>
  <c r="S45" i="30"/>
  <c r="AV45" i="30"/>
  <c r="AT45" i="30"/>
  <c r="X45" i="30"/>
  <c r="AB45" i="30"/>
  <c r="AZ45" i="30"/>
  <c r="AN45" i="30"/>
  <c r="AF45" i="30"/>
  <c r="W45" i="30"/>
  <c r="AU45" i="30"/>
  <c r="AO45" i="30"/>
  <c r="AC45" i="30"/>
  <c r="T45" i="30"/>
  <c r="AY45" i="30"/>
  <c r="AP45" i="30"/>
  <c r="AE45" i="30"/>
  <c r="R45" i="30"/>
  <c r="AR45" i="30"/>
  <c r="AM45" i="30"/>
  <c r="U45" i="30"/>
  <c r="AD45" i="30"/>
  <c r="AS45" i="30"/>
  <c r="AL45" i="30"/>
  <c r="V45" i="30"/>
  <c r="AG45" i="30"/>
  <c r="Q45" i="30" l="1"/>
  <c r="AJ45" i="30" s="1"/>
  <c r="AZ46" i="30"/>
  <c r="AQ46" i="30"/>
  <c r="T46" i="30"/>
  <c r="Y46" i="30"/>
  <c r="AS46" i="30"/>
  <c r="AX46" i="30"/>
  <c r="R46" i="30"/>
  <c r="AF46" i="30"/>
  <c r="U46" i="30"/>
  <c r="AK46" i="30"/>
  <c r="AU46" i="30"/>
  <c r="AA46" i="30"/>
  <c r="S46" i="30"/>
  <c r="AY46" i="30"/>
  <c r="AM46" i="30"/>
  <c r="Z46" i="30"/>
  <c r="AE46" i="30"/>
  <c r="AT46" i="30"/>
  <c r="AO46" i="30"/>
  <c r="V46" i="30"/>
  <c r="AD46" i="30"/>
  <c r="AL46" i="30"/>
  <c r="AW46" i="30"/>
  <c r="AP46" i="30"/>
  <c r="AG46" i="30"/>
  <c r="X46" i="30"/>
  <c r="AC46" i="30"/>
  <c r="AV46" i="30"/>
  <c r="AR46" i="30"/>
  <c r="AN46" i="30"/>
  <c r="W46" i="30"/>
  <c r="AB46" i="30"/>
  <c r="Q46" i="30" l="1"/>
  <c r="AJ46" i="30" s="1"/>
  <c r="AT47" i="30"/>
  <c r="AQ47" i="30"/>
  <c r="AF47" i="30"/>
  <c r="X47" i="30"/>
  <c r="AD47" i="30"/>
  <c r="AZ47" i="30"/>
  <c r="AU47" i="30"/>
  <c r="AY47" i="30"/>
  <c r="Y47" i="30"/>
  <c r="V47" i="30"/>
  <c r="AO47" i="30"/>
  <c r="AV47" i="30"/>
  <c r="AR47" i="30"/>
  <c r="AN47" i="30"/>
  <c r="T47" i="30"/>
  <c r="AG47" i="30"/>
  <c r="U47" i="30"/>
  <c r="AS47" i="30"/>
  <c r="AM47" i="30"/>
  <c r="AC47" i="30"/>
  <c r="Z47" i="30"/>
  <c r="AK47" i="30"/>
  <c r="AL47" i="30"/>
  <c r="AB47" i="30"/>
  <c r="W47" i="30"/>
  <c r="AX47" i="30"/>
  <c r="R47" i="30"/>
  <c r="AW47" i="30"/>
  <c r="AP47" i="30"/>
  <c r="S47" i="30"/>
  <c r="AE47" i="30"/>
  <c r="AA47" i="30"/>
  <c r="Q47" i="30" l="1"/>
  <c r="AJ47" i="30" s="1"/>
  <c r="AS48" i="30"/>
  <c r="AQ48" i="30"/>
  <c r="S48" i="30"/>
  <c r="R48" i="30"/>
  <c r="V48" i="30"/>
  <c r="AW48" i="30"/>
  <c r="AU48" i="30"/>
  <c r="AZ48" i="30"/>
  <c r="X48" i="30"/>
  <c r="AD48" i="30"/>
  <c r="W48" i="30"/>
  <c r="AK48" i="30"/>
  <c r="AV48" i="30"/>
  <c r="AC48" i="30"/>
  <c r="T48" i="30"/>
  <c r="Y48" i="30"/>
  <c r="AX48" i="30"/>
  <c r="AN48" i="30"/>
  <c r="Z48" i="30"/>
  <c r="AP48" i="30"/>
  <c r="AT48" i="30"/>
  <c r="AM48" i="30"/>
  <c r="AA48" i="30"/>
  <c r="U48" i="30"/>
  <c r="AL48" i="30"/>
  <c r="AG48" i="30"/>
  <c r="AR48" i="30"/>
  <c r="AO48" i="30"/>
  <c r="AE48" i="30"/>
  <c r="AF48" i="30"/>
  <c r="AY48" i="30"/>
  <c r="AB48" i="30"/>
  <c r="Q48" i="30" l="1"/>
  <c r="AJ48" i="30" s="1"/>
  <c r="AS49" i="30"/>
  <c r="AK49" i="30"/>
  <c r="AV49" i="30"/>
  <c r="Y49" i="30"/>
  <c r="S49" i="30"/>
  <c r="AW49" i="30"/>
  <c r="AA49" i="30"/>
  <c r="AG49" i="30"/>
  <c r="AR49" i="30"/>
  <c r="V49" i="30"/>
  <c r="AL49" i="30"/>
  <c r="AX49" i="30"/>
  <c r="AP49" i="30"/>
  <c r="AC49" i="30"/>
  <c r="U49" i="30"/>
  <c r="AM49" i="30"/>
  <c r="R49" i="30"/>
  <c r="AY49" i="30"/>
  <c r="AO49" i="30"/>
  <c r="Z49" i="30"/>
  <c r="AB49" i="30"/>
  <c r="AT49" i="30"/>
  <c r="T49" i="30"/>
  <c r="AD49" i="30"/>
  <c r="AU49" i="30"/>
  <c r="AN49" i="30"/>
  <c r="X49" i="30"/>
  <c r="W49" i="30"/>
  <c r="AQ49" i="30"/>
  <c r="AE49" i="30"/>
  <c r="AZ49" i="30"/>
  <c r="AF49" i="30"/>
  <c r="Q49" i="30" l="1"/>
  <c r="AJ49" i="30" s="1"/>
  <c r="AY50" i="30"/>
  <c r="AQ50" i="30"/>
  <c r="R50" i="30"/>
  <c r="T50" i="30"/>
  <c r="S50" i="30"/>
  <c r="V50" i="30"/>
  <c r="AR50" i="30"/>
  <c r="AT50" i="30"/>
  <c r="AG50" i="30"/>
  <c r="AB50" i="30"/>
  <c r="X50" i="30"/>
  <c r="AV50" i="30"/>
  <c r="AZ50" i="30"/>
  <c r="AS50" i="30"/>
  <c r="Y50" i="30"/>
  <c r="AF50" i="30"/>
  <c r="AP50" i="30"/>
  <c r="W50" i="30"/>
  <c r="AD50" i="30"/>
  <c r="AU50" i="30"/>
  <c r="AM50" i="30"/>
  <c r="U50" i="30"/>
  <c r="AC50" i="30"/>
  <c r="AE50" i="30"/>
  <c r="AX50" i="30"/>
  <c r="AK50" i="30"/>
  <c r="AN50" i="30"/>
  <c r="Z50" i="30"/>
  <c r="AA50" i="30"/>
  <c r="AL50" i="30"/>
  <c r="AO50" i="30"/>
  <c r="AW50" i="30"/>
  <c r="Q50" i="30" l="1"/>
  <c r="AJ50" i="30" s="1"/>
  <c r="AZ51" i="30"/>
  <c r="AQ51" i="30"/>
  <c r="T51" i="30"/>
  <c r="V51" i="30"/>
  <c r="AY51" i="30"/>
  <c r="AW51" i="30"/>
  <c r="X51" i="30"/>
  <c r="S51" i="30"/>
  <c r="AT51" i="30"/>
  <c r="AX51" i="30"/>
  <c r="W51" i="30"/>
  <c r="Z51" i="30"/>
  <c r="AR51" i="30"/>
  <c r="AL51" i="30"/>
  <c r="R51" i="30"/>
  <c r="AG51" i="30"/>
  <c r="AU51" i="30"/>
  <c r="AM51" i="30"/>
  <c r="AF51" i="30"/>
  <c r="Y51" i="30"/>
  <c r="AS51" i="30"/>
  <c r="AP51" i="30"/>
  <c r="AD51" i="30"/>
  <c r="AB51" i="30"/>
  <c r="AV51" i="30"/>
  <c r="AN51" i="30"/>
  <c r="U51" i="30"/>
  <c r="AA51" i="30"/>
  <c r="AK51" i="30"/>
  <c r="AO51" i="30"/>
  <c r="AC51" i="30"/>
  <c r="AE51" i="30"/>
  <c r="Q51" i="30" l="1"/>
  <c r="AJ51" i="30" s="1"/>
  <c r="S52" i="30"/>
  <c r="AS52" i="30"/>
  <c r="AZ52" i="30"/>
  <c r="AK52" i="30"/>
  <c r="AF52" i="30"/>
  <c r="Z52" i="30"/>
  <c r="AB52" i="30"/>
  <c r="AM52" i="30"/>
  <c r="R52" i="30"/>
  <c r="AC52" i="30"/>
  <c r="AT52" i="30"/>
  <c r="AP52" i="30"/>
  <c r="AE52" i="30"/>
  <c r="W52" i="30"/>
  <c r="AX52" i="30"/>
  <c r="AO52" i="30"/>
  <c r="AU52" i="30"/>
  <c r="AA52" i="30"/>
  <c r="U52" i="30"/>
  <c r="T52" i="30"/>
  <c r="AL52" i="30"/>
  <c r="AY52" i="30"/>
  <c r="X52" i="30"/>
  <c r="AR52" i="30"/>
  <c r="AN52" i="30"/>
  <c r="AG52" i="30"/>
  <c r="Y52" i="30"/>
  <c r="AW52" i="30"/>
  <c r="AQ52" i="30"/>
  <c r="V52" i="30"/>
  <c r="AV52" i="30"/>
  <c r="AD52" i="30"/>
  <c r="Q52" i="30" l="1"/>
  <c r="AJ52" i="30" s="1"/>
  <c r="AW53" i="30"/>
  <c r="AQ53" i="30"/>
  <c r="AE53" i="30"/>
  <c r="X53" i="30"/>
  <c r="AT53" i="30"/>
  <c r="AR53" i="30"/>
  <c r="AF53" i="30"/>
  <c r="R53" i="30"/>
  <c r="AK53" i="30"/>
  <c r="AV53" i="30"/>
  <c r="T53" i="30"/>
  <c r="S53" i="30"/>
  <c r="AS53" i="30"/>
  <c r="AP53" i="30"/>
  <c r="AB53" i="30"/>
  <c r="V53" i="30"/>
  <c r="AU53" i="30"/>
  <c r="AM53" i="30"/>
  <c r="AG53" i="30"/>
  <c r="AA53" i="30"/>
  <c r="AY53" i="30"/>
  <c r="AL53" i="30"/>
  <c r="W53" i="30"/>
  <c r="AC53" i="30"/>
  <c r="AX53" i="30"/>
  <c r="AN53" i="30"/>
  <c r="Y53" i="30"/>
  <c r="AD53" i="30"/>
  <c r="AZ53" i="30"/>
  <c r="AO53" i="30"/>
  <c r="U53" i="30"/>
  <c r="Z53" i="30"/>
  <c r="Q53" i="30" l="1"/>
  <c r="AJ53" i="30" s="1"/>
  <c r="AZ54" i="30"/>
  <c r="T54" i="30"/>
  <c r="AT54" i="30"/>
  <c r="AV54" i="30"/>
  <c r="U54" i="30"/>
  <c r="S54" i="30"/>
  <c r="AD54" i="30"/>
  <c r="AY54" i="30"/>
  <c r="AR54" i="30"/>
  <c r="X54" i="30"/>
  <c r="AE54" i="30"/>
  <c r="AU54" i="30"/>
  <c r="AP54" i="30"/>
  <c r="AB54" i="30"/>
  <c r="V54" i="30"/>
  <c r="AS54" i="30"/>
  <c r="AL54" i="30"/>
  <c r="Y54" i="30"/>
  <c r="AA54" i="30"/>
  <c r="AN54" i="30"/>
  <c r="AW54" i="30"/>
  <c r="AM54" i="30"/>
  <c r="AC54" i="30"/>
  <c r="AF54" i="30"/>
  <c r="AK54" i="30"/>
  <c r="R54" i="30"/>
  <c r="AX54" i="30"/>
  <c r="AO54" i="30"/>
  <c r="W54" i="30"/>
  <c r="AG54" i="30"/>
  <c r="AQ54" i="30"/>
  <c r="Z54" i="30"/>
  <c r="Q54" i="30" l="1"/>
  <c r="AJ54" i="30" s="1"/>
  <c r="AW55" i="30"/>
  <c r="AQ55" i="30"/>
  <c r="X55" i="30"/>
  <c r="T55" i="30"/>
  <c r="AT55" i="30"/>
  <c r="AV55" i="30"/>
  <c r="AA55" i="30"/>
  <c r="Y55" i="30"/>
  <c r="AM55" i="30"/>
  <c r="AR55" i="30"/>
  <c r="AS55" i="30"/>
  <c r="R55" i="30"/>
  <c r="S55" i="30"/>
  <c r="AY55" i="30"/>
  <c r="AU55" i="30"/>
  <c r="AO55" i="30"/>
  <c r="AF55" i="30"/>
  <c r="V55" i="30"/>
  <c r="AK55" i="30"/>
  <c r="AP55" i="30"/>
  <c r="U55" i="30"/>
  <c r="W55" i="30"/>
  <c r="AG55" i="30"/>
  <c r="AZ55" i="30"/>
  <c r="AL55" i="30"/>
  <c r="Z55" i="30"/>
  <c r="AB55" i="30"/>
  <c r="AX55" i="30"/>
  <c r="AN55" i="30"/>
  <c r="AC55" i="30"/>
  <c r="AE55" i="30"/>
  <c r="AD55" i="30"/>
  <c r="Q55" i="30" l="1"/>
  <c r="AJ55" i="30" s="1"/>
  <c r="AR56" i="30"/>
  <c r="AQ56" i="30"/>
  <c r="U56" i="30"/>
  <c r="AS56" i="30"/>
  <c r="AY56" i="30"/>
  <c r="X56" i="30"/>
  <c r="AB56" i="30"/>
  <c r="AE56" i="30"/>
  <c r="AV56" i="30"/>
  <c r="R56" i="30"/>
  <c r="AT56" i="30"/>
  <c r="AX56" i="30"/>
  <c r="AA56" i="30"/>
  <c r="Z56" i="30"/>
  <c r="AC56" i="30"/>
  <c r="AL56" i="30"/>
  <c r="V56" i="30"/>
  <c r="AU56" i="30"/>
  <c r="AO56" i="30"/>
  <c r="AG56" i="30"/>
  <c r="S56" i="30"/>
  <c r="AN56" i="30"/>
  <c r="AM56" i="30"/>
  <c r="AF56" i="30"/>
  <c r="AK56" i="30"/>
  <c r="T56" i="30"/>
  <c r="AD56" i="30"/>
  <c r="AW56" i="30"/>
  <c r="AZ56" i="30"/>
  <c r="AP56" i="30"/>
  <c r="W56" i="30"/>
  <c r="Y56" i="30"/>
  <c r="Q56" i="30" l="1"/>
  <c r="AJ56" i="30" s="1"/>
  <c r="AK57" i="30"/>
  <c r="AQ57" i="30"/>
  <c r="T57" i="30"/>
  <c r="AX57" i="30"/>
  <c r="AV57" i="30"/>
  <c r="AD57" i="30"/>
  <c r="AA57" i="30"/>
  <c r="AS57" i="30"/>
  <c r="AR57" i="30"/>
  <c r="S57" i="30"/>
  <c r="R57" i="30"/>
  <c r="AE57" i="30"/>
  <c r="AT57" i="30"/>
  <c r="AO57" i="30"/>
  <c r="V57" i="30"/>
  <c r="AG57" i="30"/>
  <c r="W57" i="30"/>
  <c r="AY57" i="30"/>
  <c r="AN57" i="30"/>
  <c r="AC57" i="30"/>
  <c r="AF57" i="30"/>
  <c r="AU57" i="30"/>
  <c r="AP57" i="30"/>
  <c r="X57" i="30"/>
  <c r="AZ57" i="30"/>
  <c r="AM57" i="30"/>
  <c r="AB57" i="30"/>
  <c r="U57" i="30"/>
  <c r="AW57" i="30"/>
  <c r="AL57" i="30"/>
  <c r="Z57" i="30"/>
  <c r="Y57" i="30"/>
  <c r="Q57" i="30" l="1"/>
  <c r="AJ57" i="30" s="1"/>
  <c r="AX58" i="30"/>
  <c r="AQ58" i="30"/>
  <c r="R58" i="30"/>
  <c r="AD58" i="30"/>
  <c r="AZ58" i="30"/>
  <c r="AR58" i="30"/>
  <c r="T58" i="30"/>
  <c r="AY58" i="30"/>
  <c r="AU58" i="30"/>
  <c r="Y58" i="30"/>
  <c r="X58" i="30"/>
  <c r="AT58" i="30"/>
  <c r="AM58" i="30"/>
  <c r="AF58" i="30"/>
  <c r="S58" i="30"/>
  <c r="AW58" i="30"/>
  <c r="AL58" i="30"/>
  <c r="W58" i="30"/>
  <c r="Z58" i="30"/>
  <c r="AS58" i="30"/>
  <c r="AN58" i="30"/>
  <c r="AC58" i="30"/>
  <c r="AA58" i="30"/>
  <c r="AK58" i="30"/>
  <c r="AO58" i="30"/>
  <c r="AB58" i="30"/>
  <c r="AG58" i="30"/>
  <c r="AE58" i="30"/>
  <c r="AV58" i="30"/>
  <c r="AP58" i="30"/>
  <c r="V58" i="30"/>
  <c r="U58" i="30"/>
  <c r="Q58" i="30" l="1"/>
  <c r="AJ58" i="30" s="1"/>
  <c r="AW59" i="30"/>
  <c r="AQ59" i="30"/>
  <c r="AE59" i="30"/>
  <c r="AB59" i="30"/>
  <c r="AS59" i="30"/>
  <c r="AP59" i="30"/>
  <c r="AX59" i="30"/>
  <c r="AV59" i="30"/>
  <c r="S59" i="30"/>
  <c r="W59" i="30"/>
  <c r="AD59" i="30"/>
  <c r="AU59" i="30"/>
  <c r="AT59" i="30"/>
  <c r="Z59" i="30"/>
  <c r="T59" i="30"/>
  <c r="AY59" i="30"/>
  <c r="AO59" i="30"/>
  <c r="AF59" i="30"/>
  <c r="R59" i="30"/>
  <c r="U59" i="30"/>
  <c r="AZ59" i="30"/>
  <c r="AL59" i="30"/>
  <c r="AA59" i="30"/>
  <c r="X59" i="30"/>
  <c r="AR59" i="30"/>
  <c r="AN59" i="30"/>
  <c r="V59" i="30"/>
  <c r="AC59" i="30"/>
  <c r="AK59" i="30"/>
  <c r="AM59" i="30"/>
  <c r="AG59" i="30"/>
  <c r="Y59" i="30"/>
  <c r="Q59" i="30" l="1"/>
  <c r="AJ59" i="30" s="1"/>
  <c r="AT60" i="30"/>
  <c r="AQ60" i="30"/>
  <c r="AA60" i="30"/>
  <c r="Z60" i="30"/>
  <c r="R60" i="30"/>
  <c r="X60" i="30"/>
  <c r="AP60" i="30"/>
  <c r="AX60" i="30"/>
  <c r="AV60" i="30"/>
  <c r="U60" i="30"/>
  <c r="AK60" i="30"/>
  <c r="AU60" i="30"/>
  <c r="AE60" i="30"/>
  <c r="W60" i="30"/>
  <c r="S60" i="30"/>
  <c r="AF60" i="30"/>
  <c r="AW60" i="30"/>
  <c r="AS60" i="30"/>
  <c r="AB60" i="30"/>
  <c r="AO60" i="30"/>
  <c r="Y60" i="30"/>
  <c r="AN60" i="30"/>
  <c r="AL60" i="30"/>
  <c r="AC60" i="30"/>
  <c r="AR60" i="30"/>
  <c r="AD60" i="30"/>
  <c r="AG60" i="30"/>
  <c r="V60" i="30"/>
  <c r="AY60" i="30"/>
  <c r="AZ60" i="30"/>
  <c r="AM60" i="30"/>
  <c r="T60" i="30"/>
  <c r="Q60" i="30" l="1"/>
  <c r="AJ60" i="30" s="1"/>
  <c r="AU61" i="30"/>
  <c r="AY61" i="30"/>
  <c r="AF61" i="30"/>
  <c r="AE61" i="30"/>
  <c r="AA61" i="30"/>
  <c r="W61" i="30"/>
  <c r="AP61" i="30"/>
  <c r="AX61" i="30"/>
  <c r="AW61" i="30"/>
  <c r="X61" i="30"/>
  <c r="AO61" i="30"/>
  <c r="AL61" i="30"/>
  <c r="AG61" i="30"/>
  <c r="T61" i="30"/>
  <c r="AZ61" i="30"/>
  <c r="V61" i="30"/>
  <c r="AT61" i="30"/>
  <c r="S61" i="30"/>
  <c r="AV61" i="30"/>
  <c r="AC61" i="30"/>
  <c r="Z61" i="30"/>
  <c r="AS61" i="30"/>
  <c r="AN61" i="30"/>
  <c r="AD61" i="30"/>
  <c r="AB61" i="30"/>
  <c r="AM61" i="30"/>
  <c r="R61" i="30"/>
  <c r="Y61" i="30"/>
  <c r="AQ61" i="30"/>
  <c r="AK61" i="30"/>
  <c r="AR61" i="30"/>
  <c r="U61" i="30"/>
  <c r="Q61" i="30" l="1"/>
  <c r="AJ61" i="30" s="1"/>
  <c r="AW62" i="30"/>
  <c r="AQ62" i="30"/>
  <c r="X62" i="30"/>
  <c r="V62" i="30"/>
  <c r="AB62" i="30"/>
  <c r="AX62" i="30"/>
  <c r="T62" i="30"/>
  <c r="AE62" i="30"/>
  <c r="AU62" i="30"/>
  <c r="AY62" i="30"/>
  <c r="AG62" i="30"/>
  <c r="AD62" i="30"/>
  <c r="AV62" i="30"/>
  <c r="S62" i="30"/>
  <c r="U62" i="30"/>
  <c r="AL62" i="30"/>
  <c r="AP62" i="30"/>
  <c r="AZ62" i="30"/>
  <c r="AA62" i="30"/>
  <c r="AK62" i="30"/>
  <c r="R62" i="30"/>
  <c r="AT62" i="30"/>
  <c r="AO62" i="30"/>
  <c r="Z62" i="30"/>
  <c r="AC62" i="30"/>
  <c r="Y62" i="30"/>
  <c r="AM62" i="30"/>
  <c r="AR62" i="30"/>
  <c r="AN62" i="30"/>
  <c r="W62" i="30"/>
  <c r="AF62" i="30"/>
  <c r="AS62" i="30"/>
  <c r="Q62" i="30" l="1"/>
  <c r="AJ62" i="30" s="1"/>
  <c r="AY63" i="30"/>
  <c r="AQ63" i="30"/>
  <c r="W63" i="30"/>
  <c r="S63" i="30"/>
  <c r="AG63" i="30"/>
  <c r="AK63" i="30"/>
  <c r="AU63" i="30"/>
  <c r="V63" i="30"/>
  <c r="AC63" i="30"/>
  <c r="AF63" i="30"/>
  <c r="AZ63" i="30"/>
  <c r="AR63" i="30"/>
  <c r="Z63" i="30"/>
  <c r="U63" i="30"/>
  <c r="AW63" i="30"/>
  <c r="AL63" i="30"/>
  <c r="Y63" i="30"/>
  <c r="X63" i="30"/>
  <c r="AX63" i="30"/>
  <c r="AN63" i="30"/>
  <c r="T63" i="30"/>
  <c r="AB63" i="30"/>
  <c r="AT63" i="30"/>
  <c r="AO63" i="30"/>
  <c r="AA63" i="30"/>
  <c r="R63" i="30"/>
  <c r="AP63" i="30"/>
  <c r="AS63" i="30"/>
  <c r="AV63" i="30"/>
  <c r="AM63" i="30"/>
  <c r="AD63" i="30"/>
  <c r="AE63" i="30"/>
  <c r="Q63" i="30" l="1"/>
  <c r="AJ63" i="30" s="1"/>
  <c r="AT64" i="30"/>
  <c r="AZ64" i="30"/>
  <c r="Z64" i="30"/>
  <c r="AA64" i="30"/>
  <c r="AO64" i="30"/>
  <c r="AX64" i="30"/>
  <c r="AD64" i="30"/>
  <c r="X64" i="30"/>
  <c r="AV64" i="30"/>
  <c r="AW64" i="30"/>
  <c r="W64" i="30"/>
  <c r="AF64" i="30"/>
  <c r="T64" i="30"/>
  <c r="AM64" i="30"/>
  <c r="U64" i="30"/>
  <c r="AQ64" i="30"/>
  <c r="AS64" i="30"/>
  <c r="AN64" i="30"/>
  <c r="AE64" i="30"/>
  <c r="AB64" i="30"/>
  <c r="AG64" i="30"/>
  <c r="AC64" i="30"/>
  <c r="S64" i="30"/>
  <c r="AU64" i="30"/>
  <c r="AL64" i="30"/>
  <c r="R64" i="30"/>
  <c r="Y64" i="30"/>
  <c r="AY64" i="30"/>
  <c r="AP64" i="30"/>
  <c r="V64" i="30"/>
  <c r="AK64" i="30"/>
  <c r="AR64" i="30"/>
  <c r="Q64" i="30" l="1"/>
  <c r="AJ64" i="30" s="1"/>
  <c r="AZ65" i="30"/>
  <c r="AX65" i="30"/>
  <c r="V65" i="30"/>
  <c r="W65" i="30"/>
  <c r="AY65" i="30"/>
  <c r="Y65" i="30"/>
  <c r="Z65" i="30"/>
  <c r="AO65" i="30"/>
  <c r="T65" i="30"/>
  <c r="AV65" i="30"/>
  <c r="AA65" i="30"/>
  <c r="AR65" i="30"/>
  <c r="X65" i="30"/>
  <c r="AF65" i="30"/>
  <c r="U65" i="30"/>
  <c r="AS65" i="30"/>
  <c r="S65" i="30"/>
  <c r="AM65" i="30"/>
  <c r="AC65" i="30"/>
  <c r="AL65" i="30"/>
  <c r="AG65" i="30"/>
  <c r="AN65" i="30"/>
  <c r="AE65" i="30"/>
  <c r="AP65" i="30"/>
  <c r="R65" i="30"/>
  <c r="AW65" i="30"/>
  <c r="AU65" i="30"/>
  <c r="AQ65" i="30"/>
  <c r="AD65" i="30"/>
  <c r="AT65" i="30"/>
  <c r="AB65" i="30"/>
  <c r="AK65" i="30"/>
  <c r="Q65" i="30" l="1"/>
  <c r="AJ65" i="30" s="1"/>
  <c r="AZ66" i="30"/>
  <c r="AQ66" i="30"/>
  <c r="AC66" i="30"/>
  <c r="AD66" i="30"/>
  <c r="AF66" i="30"/>
  <c r="AY66" i="30"/>
  <c r="AK66" i="30"/>
  <c r="W66" i="30"/>
  <c r="Z66" i="30"/>
  <c r="Y66" i="30"/>
  <c r="AT66" i="30"/>
  <c r="AW66" i="30"/>
  <c r="V66" i="30"/>
  <c r="AG66" i="30"/>
  <c r="AX66" i="30"/>
  <c r="AM66" i="30"/>
  <c r="T66" i="30"/>
  <c r="X66" i="30"/>
  <c r="AS66" i="30"/>
  <c r="AN66" i="30"/>
  <c r="S66" i="30"/>
  <c r="R66" i="30"/>
  <c r="AU66" i="30"/>
  <c r="AV66" i="30"/>
  <c r="AP66" i="30"/>
  <c r="AB66" i="30"/>
  <c r="AE66" i="30"/>
  <c r="AO66" i="30"/>
  <c r="AR66" i="30"/>
  <c r="AL66" i="30"/>
  <c r="U66" i="30"/>
  <c r="AA66" i="30"/>
  <c r="Q66" i="30" l="1"/>
  <c r="AJ66" i="30" s="1"/>
  <c r="AX67" i="30"/>
  <c r="AQ67" i="30"/>
  <c r="AE67" i="30"/>
  <c r="R67" i="30"/>
  <c r="AY67" i="30"/>
  <c r="AF67" i="30"/>
  <c r="AZ67" i="30"/>
  <c r="AT67" i="30"/>
  <c r="AA67" i="30"/>
  <c r="Z67" i="30"/>
  <c r="AN67" i="30"/>
  <c r="AV67" i="30"/>
  <c r="AU67" i="30"/>
  <c r="W67" i="30"/>
  <c r="V67" i="30"/>
  <c r="AG67" i="30"/>
  <c r="AO67" i="30"/>
  <c r="AW67" i="30"/>
  <c r="AD67" i="30"/>
  <c r="AR67" i="30"/>
  <c r="AL67" i="30"/>
  <c r="X67" i="30"/>
  <c r="Y67" i="30"/>
  <c r="AM67" i="30"/>
  <c r="AC67" i="30"/>
  <c r="T67" i="30"/>
  <c r="AS67" i="30"/>
  <c r="AB67" i="30"/>
  <c r="AK67" i="30"/>
  <c r="AP67" i="30"/>
  <c r="U67" i="30"/>
  <c r="S67" i="30"/>
  <c r="Q67" i="30" l="1"/>
  <c r="AJ67" i="30" s="1"/>
  <c r="AT68" i="30"/>
  <c r="AQ68" i="30"/>
  <c r="AE68" i="30"/>
  <c r="AG68" i="30"/>
  <c r="AR68" i="30"/>
  <c r="AD68" i="30"/>
  <c r="T68" i="30"/>
  <c r="R68" i="30"/>
  <c r="AP68" i="30"/>
  <c r="X68" i="30"/>
  <c r="AB68" i="30"/>
  <c r="V68" i="30"/>
  <c r="Z68" i="30"/>
  <c r="AV68" i="30"/>
  <c r="AK68" i="30"/>
  <c r="AC68" i="30"/>
  <c r="W68" i="30"/>
  <c r="AZ68" i="30"/>
  <c r="AS68" i="30"/>
  <c r="AO68" i="30"/>
  <c r="AF68" i="30"/>
  <c r="Y68" i="30"/>
  <c r="AU68" i="30"/>
  <c r="AN68" i="30"/>
  <c r="AM68" i="30"/>
  <c r="AL68" i="30"/>
  <c r="U68" i="30"/>
  <c r="AW68" i="30"/>
  <c r="S68" i="30"/>
  <c r="AA68" i="30"/>
  <c r="AX68" i="30"/>
  <c r="AY68" i="30"/>
  <c r="Q68" i="30" l="1"/>
  <c r="AJ68" i="30" s="1"/>
  <c r="AV69" i="30"/>
  <c r="AR69" i="30"/>
  <c r="AB69" i="30"/>
  <c r="AG69" i="30"/>
  <c r="AU69" i="30"/>
  <c r="AC69" i="30"/>
  <c r="T69" i="30"/>
  <c r="AZ69" i="30"/>
  <c r="AO69" i="30"/>
  <c r="AE69" i="30"/>
  <c r="W69" i="30"/>
  <c r="AM69" i="30"/>
  <c r="AA69" i="30"/>
  <c r="AN69" i="30"/>
  <c r="AF69" i="30"/>
  <c r="AL69" i="30"/>
  <c r="S69" i="30"/>
  <c r="U69" i="30"/>
  <c r="Y69" i="30"/>
  <c r="AY69" i="30"/>
  <c r="V69" i="30"/>
  <c r="AS69" i="30"/>
  <c r="AW69" i="30"/>
  <c r="AX69" i="30"/>
  <c r="AP69" i="30"/>
  <c r="X69" i="30"/>
  <c r="AD69" i="30"/>
  <c r="AT69" i="30"/>
  <c r="AQ69" i="30"/>
  <c r="Z69" i="30"/>
  <c r="R69" i="30"/>
  <c r="AK69" i="30"/>
  <c r="Q69" i="30" l="1"/>
  <c r="AJ69" i="30" s="1"/>
  <c r="AR70" i="30"/>
  <c r="AW70" i="30"/>
  <c r="U70" i="30"/>
  <c r="Z70" i="30"/>
  <c r="AV70" i="30"/>
  <c r="AO70" i="30"/>
  <c r="AC70" i="30"/>
  <c r="AS70" i="30"/>
  <c r="AM70" i="30"/>
  <c r="X70" i="30"/>
  <c r="S70" i="30"/>
  <c r="AU70" i="30"/>
  <c r="AL70" i="30"/>
  <c r="AB70" i="30"/>
  <c r="AX70" i="30"/>
  <c r="AP70" i="30"/>
  <c r="AE70" i="30"/>
  <c r="AA70" i="30"/>
  <c r="AN70" i="30"/>
  <c r="AF70" i="30"/>
  <c r="W70" i="30"/>
  <c r="AK70" i="30"/>
  <c r="AQ70" i="30"/>
  <c r="AT70" i="30"/>
  <c r="AD70" i="30"/>
  <c r="V70" i="30"/>
  <c r="AG70" i="30"/>
  <c r="AZ70" i="30"/>
  <c r="Y70" i="30"/>
  <c r="R70" i="30"/>
  <c r="AY70" i="30"/>
  <c r="T70" i="30"/>
  <c r="Q70" i="30" l="1"/>
  <c r="AJ70" i="30" s="1"/>
  <c r="AS71" i="30"/>
  <c r="AQ71" i="30"/>
  <c r="Z71" i="30"/>
  <c r="W71" i="30"/>
  <c r="AW71" i="30"/>
  <c r="AK71" i="30"/>
  <c r="U71" i="30"/>
  <c r="AR71" i="30"/>
  <c r="AZ71" i="30"/>
  <c r="AD71" i="30"/>
  <c r="AB71" i="30"/>
  <c r="T71" i="30"/>
  <c r="AU71" i="30"/>
  <c r="AO71" i="30"/>
  <c r="AF71" i="30"/>
  <c r="S71" i="30"/>
  <c r="AX71" i="30"/>
  <c r="AN71" i="30"/>
  <c r="Y71" i="30"/>
  <c r="AA71" i="30"/>
  <c r="AT71" i="30"/>
  <c r="AM71" i="30"/>
  <c r="AG71" i="30"/>
  <c r="V71" i="30"/>
  <c r="AV71" i="30"/>
  <c r="AP71" i="30"/>
  <c r="AY71" i="30"/>
  <c r="AL71" i="30"/>
  <c r="X71" i="30"/>
  <c r="AE71" i="30"/>
  <c r="R71" i="30"/>
  <c r="AC71" i="30"/>
  <c r="Q71" i="30" l="1"/>
  <c r="AJ71" i="30" s="1"/>
  <c r="AQ72" i="30"/>
  <c r="AV72" i="30"/>
  <c r="AX72" i="30"/>
  <c r="S72" i="30"/>
  <c r="V72" i="30"/>
  <c r="AA72" i="30"/>
  <c r="AK72" i="30"/>
  <c r="AL72" i="30"/>
  <c r="T72" i="30"/>
  <c r="AZ72" i="30"/>
  <c r="AY72" i="30"/>
  <c r="AD72" i="30"/>
  <c r="Y72" i="30"/>
  <c r="AN72" i="30"/>
  <c r="AP72" i="30"/>
  <c r="AG72" i="30"/>
  <c r="U72" i="30"/>
  <c r="AT72" i="30"/>
  <c r="AO72" i="30"/>
  <c r="AB72" i="30"/>
  <c r="X72" i="30"/>
  <c r="AS72" i="30"/>
  <c r="Z72" i="30"/>
  <c r="W72" i="30"/>
  <c r="AW72" i="30"/>
  <c r="AR72" i="30"/>
  <c r="AM72" i="30"/>
  <c r="AF72" i="30"/>
  <c r="AC72" i="30"/>
  <c r="AU72" i="30"/>
  <c r="R72" i="30"/>
  <c r="AE72" i="30"/>
  <c r="Q72" i="30" l="1"/>
  <c r="AJ72" i="30" s="1"/>
  <c r="AV73" i="30"/>
  <c r="AQ73" i="30"/>
  <c r="T73" i="30"/>
  <c r="Y73" i="30"/>
  <c r="AK73" i="30"/>
  <c r="X73" i="30"/>
  <c r="S73" i="30"/>
  <c r="AC73" i="30"/>
  <c r="AA73" i="30"/>
  <c r="AM73" i="30"/>
  <c r="W73" i="30"/>
  <c r="Z73" i="30"/>
  <c r="AU73" i="30"/>
  <c r="AT73" i="30"/>
  <c r="V73" i="30"/>
  <c r="AF73" i="30"/>
  <c r="AX73" i="30"/>
  <c r="AP73" i="30"/>
  <c r="AB73" i="30"/>
  <c r="AW73" i="30"/>
  <c r="AO73" i="30"/>
  <c r="AD73" i="30"/>
  <c r="U73" i="30"/>
  <c r="AZ73" i="30"/>
  <c r="AN73" i="30"/>
  <c r="AE73" i="30"/>
  <c r="AG73" i="30"/>
  <c r="AR73" i="30"/>
  <c r="AY73" i="30"/>
  <c r="R73" i="30"/>
  <c r="AL73" i="30"/>
  <c r="AS73" i="30"/>
  <c r="Q73" i="30" l="1"/>
  <c r="AJ73" i="30" s="1"/>
  <c r="AT74" i="30"/>
  <c r="AQ74" i="30"/>
  <c r="T74" i="30"/>
  <c r="AB74" i="30"/>
  <c r="AW74" i="30"/>
  <c r="AZ74" i="30"/>
  <c r="AF74" i="30"/>
  <c r="AD74" i="30"/>
  <c r="AC74" i="30"/>
  <c r="AR74" i="30"/>
  <c r="AP74" i="30"/>
  <c r="X74" i="30"/>
  <c r="Z74" i="30"/>
  <c r="R74" i="30"/>
  <c r="AU74" i="30"/>
  <c r="AO74" i="30"/>
  <c r="Y74" i="30"/>
  <c r="W74" i="30"/>
  <c r="AV74" i="30"/>
  <c r="AL74" i="30"/>
  <c r="U74" i="30"/>
  <c r="AG74" i="30"/>
  <c r="AS74" i="30"/>
  <c r="AN74" i="30"/>
  <c r="AA74" i="30"/>
  <c r="S74" i="30"/>
  <c r="AX74" i="30"/>
  <c r="AK74" i="30"/>
  <c r="AM74" i="30"/>
  <c r="V74" i="30"/>
  <c r="AE74" i="30"/>
  <c r="AY74" i="30"/>
  <c r="Q74" i="30" l="1"/>
  <c r="AJ74" i="30" s="1"/>
  <c r="AK75" i="30"/>
  <c r="AQ75" i="30"/>
  <c r="R75" i="30"/>
  <c r="AZ75" i="30"/>
  <c r="AW75" i="30"/>
  <c r="Z75" i="30"/>
  <c r="V75" i="30"/>
  <c r="AG75" i="30"/>
  <c r="AL75" i="30"/>
  <c r="W75" i="30"/>
  <c r="AO75" i="30"/>
  <c r="AF75" i="30"/>
  <c r="AS75" i="30"/>
  <c r="AU75" i="30"/>
  <c r="AB75" i="30"/>
  <c r="AP75" i="30"/>
  <c r="T75" i="30"/>
  <c r="AC75" i="30"/>
  <c r="AR75" i="30"/>
  <c r="AM75" i="30"/>
  <c r="S75" i="30"/>
  <c r="X75" i="30"/>
  <c r="AE75" i="30"/>
  <c r="AT75" i="30"/>
  <c r="AA75" i="30"/>
  <c r="Y75" i="30"/>
  <c r="AV75" i="30"/>
  <c r="U75" i="30"/>
  <c r="AY75" i="30"/>
  <c r="AN75" i="30"/>
  <c r="AD75" i="30"/>
  <c r="AX75" i="30"/>
  <c r="Q75" i="30" l="1"/>
  <c r="AJ75" i="30" s="1"/>
  <c r="AX76" i="30"/>
  <c r="AQ76" i="30"/>
  <c r="V76" i="30"/>
  <c r="AG76" i="30"/>
  <c r="AO76" i="30"/>
  <c r="S76" i="30"/>
  <c r="AS76" i="30"/>
  <c r="AW76" i="30"/>
  <c r="U76" i="30"/>
  <c r="Y76" i="30"/>
  <c r="AD76" i="30"/>
  <c r="AR76" i="30"/>
  <c r="R76" i="30"/>
  <c r="AY76" i="30"/>
  <c r="AT76" i="30"/>
  <c r="AF76" i="30"/>
  <c r="AE76" i="30"/>
  <c r="X76" i="30"/>
  <c r="AV76" i="30"/>
  <c r="AM76" i="30"/>
  <c r="AC76" i="30"/>
  <c r="AB76" i="30"/>
  <c r="AL76" i="30"/>
  <c r="T76" i="30"/>
  <c r="AK76" i="30"/>
  <c r="AU76" i="30"/>
  <c r="AP76" i="30"/>
  <c r="AA76" i="30"/>
  <c r="W76" i="30"/>
  <c r="AN76" i="30"/>
  <c r="Z76" i="30"/>
  <c r="AZ76" i="30"/>
  <c r="Q76" i="30" l="1"/>
  <c r="AJ76" i="30" s="1"/>
  <c r="AV77" i="30"/>
  <c r="AQ77" i="30"/>
  <c r="U77" i="30"/>
  <c r="AD77" i="30"/>
  <c r="AT77" i="30"/>
  <c r="AS77" i="30"/>
  <c r="T77" i="30"/>
  <c r="Y77" i="30"/>
  <c r="AB77" i="30"/>
  <c r="AR77" i="30"/>
  <c r="AU77" i="30"/>
  <c r="W77" i="30"/>
  <c r="AE77" i="30"/>
  <c r="AX77" i="30"/>
  <c r="AO77" i="30"/>
  <c r="AC77" i="30"/>
  <c r="Z77" i="30"/>
  <c r="AN77" i="30"/>
  <c r="R77" i="30"/>
  <c r="AW77" i="30"/>
  <c r="AM77" i="30"/>
  <c r="S77" i="30"/>
  <c r="AA77" i="30"/>
  <c r="AY77" i="30"/>
  <c r="AK77" i="30"/>
  <c r="AL77" i="30"/>
  <c r="X77" i="30"/>
  <c r="AF77" i="30"/>
  <c r="AZ77" i="30"/>
  <c r="AP77" i="30"/>
  <c r="V77" i="30"/>
  <c r="AG77" i="30"/>
  <c r="Q77" i="30" l="1"/>
  <c r="AJ77" i="30" s="1"/>
  <c r="AT78" i="30"/>
  <c r="AQ78" i="30"/>
  <c r="AG78" i="30"/>
  <c r="AB78" i="30"/>
  <c r="AP78" i="30"/>
  <c r="AU78" i="30"/>
  <c r="AS78" i="30"/>
  <c r="AD78" i="30"/>
  <c r="T78" i="30"/>
  <c r="R78" i="30"/>
  <c r="AY78" i="30"/>
  <c r="AW78" i="30"/>
  <c r="AA78" i="30"/>
  <c r="Z78" i="30"/>
  <c r="S78" i="30"/>
  <c r="AR78" i="30"/>
  <c r="AM78" i="30"/>
  <c r="W78" i="30"/>
  <c r="X78" i="30"/>
  <c r="V78" i="30"/>
  <c r="AV78" i="30"/>
  <c r="AO78" i="30"/>
  <c r="AC78" i="30"/>
  <c r="AX78" i="30"/>
  <c r="AF78" i="30"/>
  <c r="AZ78" i="30"/>
  <c r="AN78" i="30"/>
  <c r="AE78" i="30"/>
  <c r="U78" i="30"/>
  <c r="AK78" i="30"/>
  <c r="AL78" i="30"/>
  <c r="Y78" i="30"/>
  <c r="Q78" i="30" l="1"/>
  <c r="AJ78" i="30" s="1"/>
  <c r="AS79" i="30"/>
  <c r="AQ79" i="30"/>
  <c r="X79" i="30"/>
  <c r="V79" i="30"/>
  <c r="AT79" i="30"/>
  <c r="AZ79" i="30"/>
  <c r="T79" i="30"/>
  <c r="Y79" i="30"/>
  <c r="AR79" i="30"/>
  <c r="AX79" i="30"/>
  <c r="AE79" i="30"/>
  <c r="AF79" i="30"/>
  <c r="AY79" i="30"/>
  <c r="AO79" i="30"/>
  <c r="AG79" i="30"/>
  <c r="AA79" i="30"/>
  <c r="AU79" i="30"/>
  <c r="AN79" i="30"/>
  <c r="AD79" i="30"/>
  <c r="R79" i="30"/>
  <c r="AW79" i="30"/>
  <c r="AM79" i="30"/>
  <c r="Z79" i="30"/>
  <c r="AC79" i="30"/>
  <c r="AK79" i="30"/>
  <c r="AP79" i="30"/>
  <c r="W79" i="30"/>
  <c r="AB79" i="30"/>
  <c r="AV79" i="30"/>
  <c r="AL79" i="30"/>
  <c r="S79" i="30"/>
  <c r="U79" i="30"/>
  <c r="Q79" i="30" l="1"/>
  <c r="AJ79" i="30" s="1"/>
  <c r="AK80" i="30"/>
  <c r="AQ80" i="30"/>
  <c r="AD80" i="30"/>
  <c r="AA80" i="30"/>
  <c r="AC80" i="30"/>
  <c r="S80" i="30"/>
  <c r="AU80" i="30"/>
  <c r="AR80" i="30"/>
  <c r="U80" i="30"/>
  <c r="AF80" i="30"/>
  <c r="AO80" i="30"/>
  <c r="Z80" i="30"/>
  <c r="AN80" i="30"/>
  <c r="AX80" i="30"/>
  <c r="AW80" i="30"/>
  <c r="T80" i="30"/>
  <c r="AB80" i="30"/>
  <c r="AG80" i="30"/>
  <c r="X80" i="30"/>
  <c r="AV80" i="30"/>
  <c r="AL80" i="30"/>
  <c r="W80" i="30"/>
  <c r="Y80" i="30"/>
  <c r="AS80" i="30"/>
  <c r="AT80" i="30"/>
  <c r="AP80" i="30"/>
  <c r="V80" i="30"/>
  <c r="R80" i="30"/>
  <c r="AM80" i="30"/>
  <c r="AZ80" i="30"/>
  <c r="AE80" i="30"/>
  <c r="AY80" i="30"/>
  <c r="Q80" i="30" l="1"/>
  <c r="AJ80" i="30" s="1"/>
  <c r="AU81" i="30"/>
  <c r="AQ81" i="30"/>
  <c r="T81" i="30"/>
  <c r="Y81" i="30"/>
  <c r="S81" i="30"/>
  <c r="AR81" i="30"/>
  <c r="AS81" i="30"/>
  <c r="U81" i="30"/>
  <c r="AD81" i="30"/>
  <c r="AM81" i="30"/>
  <c r="AC81" i="30"/>
  <c r="AW81" i="30"/>
  <c r="AV81" i="30"/>
  <c r="X81" i="30"/>
  <c r="R81" i="30"/>
  <c r="AA81" i="30"/>
  <c r="AK81" i="30"/>
  <c r="AP81" i="30"/>
  <c r="AZ81" i="30"/>
  <c r="V81" i="30"/>
  <c r="AY81" i="30"/>
  <c r="AO81" i="30"/>
  <c r="Z81" i="30"/>
  <c r="AG81" i="30"/>
  <c r="AB81" i="30"/>
  <c r="AT81" i="30"/>
  <c r="AL81" i="30"/>
  <c r="AF81" i="30"/>
  <c r="W81" i="30"/>
  <c r="AN81" i="30"/>
  <c r="AX81" i="30"/>
  <c r="AE81" i="30"/>
  <c r="Q81" i="30" l="1"/>
  <c r="AJ81" i="30" s="1"/>
  <c r="AS82" i="30"/>
  <c r="AQ82" i="30"/>
  <c r="Z82" i="30"/>
  <c r="S82" i="30"/>
  <c r="AR82" i="30"/>
  <c r="AZ82" i="30"/>
  <c r="AF82" i="30"/>
  <c r="AD82" i="30"/>
  <c r="AE82" i="30"/>
  <c r="AK82" i="30"/>
  <c r="AN82" i="30"/>
  <c r="W82" i="30"/>
  <c r="AB82" i="30"/>
  <c r="AY82" i="30"/>
  <c r="AT82" i="30"/>
  <c r="AO82" i="30"/>
  <c r="R82" i="30"/>
  <c r="U82" i="30"/>
  <c r="AG82" i="30"/>
  <c r="AV82" i="30"/>
  <c r="AM82" i="30"/>
  <c r="Y82" i="30"/>
  <c r="AC82" i="30"/>
  <c r="AW82" i="30"/>
  <c r="AL82" i="30"/>
  <c r="T82" i="30"/>
  <c r="AA82" i="30"/>
  <c r="AU82" i="30"/>
  <c r="AX82" i="30"/>
  <c r="AP82" i="30"/>
  <c r="X82" i="30"/>
  <c r="V82" i="30"/>
  <c r="Q82" i="30" l="1"/>
  <c r="AJ82" i="30" s="1"/>
  <c r="AZ83" i="30"/>
  <c r="AW83" i="30"/>
  <c r="AC83" i="30"/>
  <c r="AA83" i="30"/>
  <c r="AP83" i="30"/>
  <c r="S83" i="30"/>
  <c r="AF83" i="30"/>
  <c r="AT83" i="30"/>
  <c r="AV83" i="30"/>
  <c r="R83" i="30"/>
  <c r="AK83" i="30"/>
  <c r="AY83" i="30"/>
  <c r="V83" i="30"/>
  <c r="U83" i="30"/>
  <c r="AG83" i="30"/>
  <c r="AO83" i="30"/>
  <c r="W83" i="30"/>
  <c r="AM83" i="30"/>
  <c r="X83" i="30"/>
  <c r="AB83" i="30"/>
  <c r="AS83" i="30"/>
  <c r="Y83" i="30"/>
  <c r="AL83" i="30"/>
  <c r="AU83" i="30"/>
  <c r="Z83" i="30"/>
  <c r="AR83" i="30"/>
  <c r="T83" i="30"/>
  <c r="AX83" i="30"/>
  <c r="AN83" i="30"/>
  <c r="AD83" i="30"/>
  <c r="AE83" i="30"/>
  <c r="AQ83" i="30"/>
  <c r="Q83" i="30" l="1"/>
  <c r="AJ83" i="30" s="1"/>
  <c r="AX84" i="30"/>
  <c r="AQ84" i="30"/>
  <c r="U84" i="30"/>
  <c r="AY84" i="30"/>
  <c r="AW84" i="30"/>
  <c r="AE84" i="30"/>
  <c r="AA84" i="30"/>
  <c r="AM84" i="30"/>
  <c r="W84" i="30"/>
  <c r="Z84" i="30"/>
  <c r="AB84" i="30"/>
  <c r="AK84" i="30"/>
  <c r="AV84" i="30"/>
  <c r="Y84" i="30"/>
  <c r="T84" i="30"/>
  <c r="X84" i="30"/>
  <c r="AT84" i="30"/>
  <c r="AP84" i="30"/>
  <c r="AG84" i="30"/>
  <c r="AD84" i="30"/>
  <c r="AF84" i="30"/>
  <c r="S84" i="30"/>
  <c r="AZ84" i="30"/>
  <c r="AO84" i="30"/>
  <c r="R84" i="30"/>
  <c r="AN84" i="30"/>
  <c r="V84" i="30"/>
  <c r="AS84" i="30"/>
  <c r="AR84" i="30"/>
  <c r="AL84" i="30"/>
  <c r="AU84" i="30"/>
  <c r="AC84" i="30"/>
  <c r="Q84" i="30" l="1"/>
  <c r="AJ84" i="30" s="1"/>
  <c r="AS85" i="30"/>
  <c r="AQ85" i="30"/>
  <c r="AD85" i="30"/>
  <c r="R85" i="30"/>
  <c r="AT85" i="30"/>
  <c r="AR85" i="30"/>
  <c r="AC85" i="30"/>
  <c r="T85" i="30"/>
  <c r="AV85" i="30"/>
  <c r="AW85" i="30"/>
  <c r="U85" i="30"/>
  <c r="AE85" i="30"/>
  <c r="AK85" i="30"/>
  <c r="AM85" i="30"/>
  <c r="Y85" i="30"/>
  <c r="X85" i="30"/>
  <c r="AY85" i="30"/>
  <c r="AO85" i="30"/>
  <c r="Z85" i="30"/>
  <c r="AA85" i="30"/>
  <c r="AZ85" i="30"/>
  <c r="AP85" i="30"/>
  <c r="W85" i="30"/>
  <c r="S85" i="30"/>
  <c r="AU85" i="30"/>
  <c r="AL85" i="30"/>
  <c r="AG85" i="30"/>
  <c r="V85" i="30"/>
  <c r="AX85" i="30"/>
  <c r="AN85" i="30"/>
  <c r="AF85" i="30"/>
  <c r="AB85" i="30"/>
  <c r="Q85" i="30" l="1"/>
  <c r="AJ85" i="30" s="1"/>
  <c r="AV86" i="30"/>
  <c r="AQ86" i="30"/>
  <c r="T86" i="30"/>
  <c r="V86" i="30"/>
  <c r="AN86" i="30"/>
  <c r="AB86" i="30"/>
  <c r="S86" i="30"/>
  <c r="AZ86" i="30"/>
  <c r="AS86" i="30"/>
  <c r="U86" i="30"/>
  <c r="AG86" i="30"/>
  <c r="AE86" i="30"/>
  <c r="AT86" i="30"/>
  <c r="AU86" i="30"/>
  <c r="AF86" i="30"/>
  <c r="Z86" i="30"/>
  <c r="AL86" i="30"/>
  <c r="AX86" i="30"/>
  <c r="AP86" i="30"/>
  <c r="R86" i="30"/>
  <c r="X86" i="30"/>
  <c r="AR86" i="30"/>
  <c r="AA86" i="30"/>
  <c r="AW86" i="30"/>
  <c r="AM86" i="30"/>
  <c r="W86" i="30"/>
  <c r="AD86" i="30"/>
  <c r="Y86" i="30"/>
  <c r="AK86" i="30"/>
  <c r="AY86" i="30"/>
  <c r="AO86" i="30"/>
  <c r="AC86" i="30"/>
  <c r="Q86" i="30" l="1"/>
  <c r="AJ86" i="30" s="1"/>
  <c r="AU87" i="30"/>
  <c r="AQ87" i="30"/>
  <c r="V87" i="30"/>
  <c r="W87" i="30"/>
  <c r="AY87" i="30"/>
  <c r="AK87" i="30"/>
  <c r="AG87" i="30"/>
  <c r="AF87" i="30"/>
  <c r="AC87" i="30"/>
  <c r="AW87" i="30"/>
  <c r="AX87" i="30"/>
  <c r="Y87" i="30"/>
  <c r="T87" i="30"/>
  <c r="AB87" i="30"/>
  <c r="AZ87" i="30"/>
  <c r="AO87" i="30"/>
  <c r="S87" i="30"/>
  <c r="R87" i="30"/>
  <c r="AL87" i="30"/>
  <c r="AS87" i="30"/>
  <c r="AM87" i="30"/>
  <c r="X87" i="30"/>
  <c r="AD87" i="30"/>
  <c r="AR87" i="30"/>
  <c r="AV87" i="30"/>
  <c r="AP87" i="30"/>
  <c r="AE87" i="30"/>
  <c r="AA87" i="30"/>
  <c r="AT87" i="30"/>
  <c r="AN87" i="30"/>
  <c r="U87" i="30"/>
  <c r="Z87" i="30"/>
  <c r="Q87" i="30" l="1"/>
  <c r="AJ87" i="30" s="1"/>
  <c r="AW88" i="30"/>
  <c r="AF88" i="30"/>
  <c r="AS88" i="30"/>
  <c r="AK88" i="30"/>
  <c r="AZ88" i="30"/>
  <c r="AY88" i="30"/>
  <c r="Y88" i="30"/>
  <c r="W88" i="30"/>
  <c r="AE88" i="30"/>
  <c r="T88" i="30"/>
  <c r="AV88" i="30"/>
  <c r="AP88" i="30"/>
  <c r="AC88" i="30"/>
  <c r="X88" i="30"/>
  <c r="AR88" i="30"/>
  <c r="AQ88" i="30"/>
  <c r="AX88" i="30"/>
  <c r="AO88" i="30"/>
  <c r="AA88" i="30"/>
  <c r="V88" i="30"/>
  <c r="AL88" i="30"/>
  <c r="S88" i="30"/>
  <c r="AU88" i="30"/>
  <c r="AM88" i="30"/>
  <c r="AG88" i="30"/>
  <c r="AB88" i="30"/>
  <c r="R88" i="30"/>
  <c r="AT88" i="30"/>
  <c r="AN88" i="30"/>
  <c r="AD88" i="30"/>
  <c r="Z88" i="30"/>
  <c r="U88" i="30"/>
  <c r="Q88" i="30" l="1"/>
  <c r="AJ88" i="30" s="1"/>
  <c r="AX89" i="30"/>
  <c r="AQ89" i="30"/>
  <c r="AC89" i="30"/>
  <c r="Z89" i="30"/>
  <c r="AK89" i="30"/>
  <c r="AU89" i="30"/>
  <c r="U89" i="30"/>
  <c r="AB89" i="30"/>
  <c r="AY89" i="30"/>
  <c r="AT89" i="30"/>
  <c r="AD89" i="30"/>
  <c r="X89" i="30"/>
  <c r="AR89" i="30"/>
  <c r="AM89" i="30"/>
  <c r="AA89" i="30"/>
  <c r="T89" i="30"/>
  <c r="AV89" i="30"/>
  <c r="AO89" i="30"/>
  <c r="AG89" i="30"/>
  <c r="V89" i="30"/>
  <c r="AZ89" i="30"/>
  <c r="AN89" i="30"/>
  <c r="S89" i="30"/>
  <c r="AE89" i="30"/>
  <c r="AS89" i="30"/>
  <c r="AL89" i="30"/>
  <c r="Y89" i="30"/>
  <c r="R89" i="30"/>
  <c r="AW89" i="30"/>
  <c r="AP89" i="30"/>
  <c r="W89" i="30"/>
  <c r="AF89" i="30"/>
  <c r="Q89" i="30" l="1"/>
  <c r="AJ89" i="30" s="1"/>
  <c r="AT90" i="30"/>
  <c r="AQ90" i="30"/>
  <c r="AC90" i="30"/>
  <c r="Y90" i="30"/>
  <c r="AR90" i="30"/>
  <c r="AU90" i="30"/>
  <c r="AG90" i="30"/>
  <c r="S90" i="30"/>
  <c r="AW90" i="30"/>
  <c r="AY90" i="30"/>
  <c r="V90" i="30"/>
  <c r="AB90" i="30"/>
  <c r="AZ90" i="30"/>
  <c r="AN90" i="30"/>
  <c r="W90" i="30"/>
  <c r="X90" i="30"/>
  <c r="U90" i="30"/>
  <c r="AK90" i="30"/>
  <c r="AO90" i="30"/>
  <c r="AA90" i="30"/>
  <c r="AD90" i="30"/>
  <c r="AP90" i="30"/>
  <c r="AS90" i="30"/>
  <c r="AM90" i="30"/>
  <c r="Z90" i="30"/>
  <c r="R90" i="30"/>
  <c r="AV90" i="30"/>
  <c r="AL90" i="30"/>
  <c r="AF90" i="30"/>
  <c r="T90" i="30"/>
  <c r="AX90" i="30"/>
  <c r="AE90" i="30"/>
  <c r="Q90" i="30" l="1"/>
  <c r="AJ90" i="30" s="1"/>
  <c r="AK91" i="30"/>
  <c r="AX91" i="30"/>
  <c r="T91" i="30"/>
  <c r="Y91" i="30"/>
  <c r="AM91" i="30"/>
  <c r="AA91" i="30"/>
  <c r="AV91" i="30"/>
  <c r="AP91" i="30"/>
  <c r="R91" i="30"/>
  <c r="AT91" i="30"/>
  <c r="AO91" i="30"/>
  <c r="X91" i="30"/>
  <c r="AG91" i="30"/>
  <c r="AR91" i="30"/>
  <c r="W91" i="30"/>
  <c r="AC91" i="30"/>
  <c r="S91" i="30"/>
  <c r="AY91" i="30"/>
  <c r="AL91" i="30"/>
  <c r="AB91" i="30"/>
  <c r="Z91" i="30"/>
  <c r="AS91" i="30"/>
  <c r="U91" i="30"/>
  <c r="AW91" i="30"/>
  <c r="AU91" i="30"/>
  <c r="AN91" i="30"/>
  <c r="AE91" i="30"/>
  <c r="V91" i="30"/>
  <c r="AQ91" i="30"/>
  <c r="AF91" i="30"/>
  <c r="AZ91" i="30"/>
  <c r="AD91" i="30"/>
  <c r="Q91" i="30" l="1"/>
  <c r="AJ91" i="30" s="1"/>
  <c r="AV92" i="30"/>
  <c r="AQ92" i="30"/>
  <c r="AA92" i="30"/>
  <c r="AU92" i="30"/>
  <c r="AS92" i="30"/>
  <c r="Z92" i="30"/>
  <c r="AG92" i="30"/>
  <c r="AP92" i="30"/>
  <c r="AT92" i="30"/>
  <c r="AZ92" i="30"/>
  <c r="AE92" i="30"/>
  <c r="V92" i="30"/>
  <c r="AD92" i="30"/>
  <c r="AW92" i="30"/>
  <c r="AO92" i="30"/>
  <c r="U92" i="30"/>
  <c r="AF92" i="30"/>
  <c r="S92" i="30"/>
  <c r="AK92" i="30"/>
  <c r="AM92" i="30"/>
  <c r="Y92" i="30"/>
  <c r="AR92" i="30"/>
  <c r="AN92" i="30"/>
  <c r="W92" i="30"/>
  <c r="AB92" i="30"/>
  <c r="AY92" i="30"/>
  <c r="R92" i="30"/>
  <c r="AX92" i="30"/>
  <c r="AL92" i="30"/>
  <c r="T92" i="30"/>
  <c r="AC92" i="30"/>
  <c r="X92" i="30"/>
  <c r="Q92" i="30" l="1"/>
  <c r="AJ92" i="30" s="1"/>
  <c r="AK93" i="30"/>
  <c r="AQ93" i="30"/>
  <c r="AE93" i="30"/>
  <c r="R93" i="30"/>
  <c r="S93" i="30"/>
  <c r="AT93" i="30"/>
  <c r="AU93" i="30"/>
  <c r="AA93" i="30"/>
  <c r="AC93" i="30"/>
  <c r="AN93" i="30"/>
  <c r="AB93" i="30"/>
  <c r="AW93" i="30"/>
  <c r="AX93" i="30"/>
  <c r="AD93" i="30"/>
  <c r="V93" i="30"/>
  <c r="AF93" i="30"/>
  <c r="AS93" i="30"/>
  <c r="AM93" i="30"/>
  <c r="W93" i="30"/>
  <c r="AG93" i="30"/>
  <c r="T93" i="30"/>
  <c r="AZ93" i="30"/>
  <c r="AO93" i="30"/>
  <c r="U93" i="30"/>
  <c r="AL93" i="30"/>
  <c r="X93" i="30"/>
  <c r="AV93" i="30"/>
  <c r="Z93" i="30"/>
  <c r="AR93" i="30"/>
  <c r="AP93" i="30"/>
  <c r="Y93" i="30"/>
  <c r="AY93" i="30"/>
  <c r="Q93" i="30" l="1"/>
  <c r="AJ93" i="30" s="1"/>
  <c r="AT94" i="30"/>
  <c r="AQ94" i="30"/>
  <c r="V94" i="30"/>
  <c r="R94" i="30"/>
  <c r="AW94" i="30"/>
  <c r="AR94" i="30"/>
  <c r="Y94" i="30"/>
  <c r="W94" i="30"/>
  <c r="AU94" i="30"/>
  <c r="AK94" i="30"/>
  <c r="AA94" i="30"/>
  <c r="AD94" i="30"/>
  <c r="AY94" i="30"/>
  <c r="AP94" i="30"/>
  <c r="AC94" i="30"/>
  <c r="AG94" i="30"/>
  <c r="AZ94" i="30"/>
  <c r="AL94" i="30"/>
  <c r="U94" i="30"/>
  <c r="X94" i="30"/>
  <c r="AS94" i="30"/>
  <c r="AN94" i="30"/>
  <c r="AE94" i="30"/>
  <c r="Z94" i="30"/>
  <c r="AV94" i="30"/>
  <c r="AO94" i="30"/>
  <c r="S94" i="30"/>
  <c r="AF94" i="30"/>
  <c r="AX94" i="30"/>
  <c r="AM94" i="30"/>
  <c r="T94" i="30"/>
  <c r="AB94" i="30"/>
  <c r="Q94" i="30" l="1"/>
  <c r="AJ94" i="30" s="1"/>
  <c r="AU95" i="30"/>
  <c r="AQ95" i="30"/>
  <c r="AA95" i="30"/>
  <c r="AV95" i="30"/>
  <c r="AK95" i="30"/>
  <c r="V95" i="30"/>
  <c r="X95" i="30"/>
  <c r="AZ95" i="30"/>
  <c r="AS95" i="30"/>
  <c r="R95" i="30"/>
  <c r="AB95" i="30"/>
  <c r="AT95" i="30"/>
  <c r="AL95" i="30"/>
  <c r="AF95" i="30"/>
  <c r="AG95" i="30"/>
  <c r="AX95" i="30"/>
  <c r="AN95" i="30"/>
  <c r="AD95" i="30"/>
  <c r="S95" i="30"/>
  <c r="AY95" i="30"/>
  <c r="AO95" i="30"/>
  <c r="AE95" i="30"/>
  <c r="Y95" i="30"/>
  <c r="AW95" i="30"/>
  <c r="AP95" i="30"/>
  <c r="U95" i="30"/>
  <c r="Z95" i="30"/>
  <c r="AR95" i="30"/>
  <c r="AM95" i="30"/>
  <c r="AC95" i="30"/>
  <c r="T95" i="30"/>
  <c r="W95" i="30"/>
  <c r="Q95" i="30" l="1"/>
  <c r="AJ95" i="30" s="1"/>
  <c r="AK96" i="30"/>
  <c r="AY96" i="30"/>
  <c r="AV96" i="30"/>
  <c r="AD96" i="30"/>
  <c r="AE96" i="30"/>
  <c r="AG96" i="30"/>
  <c r="AP96" i="30"/>
  <c r="S96" i="30"/>
  <c r="AU96" i="30"/>
  <c r="AO96" i="30"/>
  <c r="Y96" i="30"/>
  <c r="AC96" i="30"/>
  <c r="AL96" i="30"/>
  <c r="AF96" i="30"/>
  <c r="AW96" i="30"/>
  <c r="W96" i="30"/>
  <c r="AX96" i="30"/>
  <c r="R96" i="30"/>
  <c r="AS96" i="30"/>
  <c r="AN96" i="30"/>
  <c r="AA96" i="30"/>
  <c r="T96" i="30"/>
  <c r="AT96" i="30"/>
  <c r="AZ96" i="30"/>
  <c r="AM96" i="30"/>
  <c r="Z96" i="30"/>
  <c r="U96" i="30"/>
  <c r="AQ96" i="30"/>
  <c r="AB96" i="30"/>
  <c r="V96" i="30"/>
  <c r="AR96" i="30"/>
  <c r="X96" i="30"/>
  <c r="Q96" i="30" l="1"/>
  <c r="AJ96" i="30" s="1"/>
  <c r="AY97" i="30"/>
  <c r="AQ97" i="30"/>
  <c r="T97" i="30"/>
  <c r="AT97" i="30"/>
  <c r="AR97" i="30"/>
  <c r="R97" i="30"/>
  <c r="AG97" i="30"/>
  <c r="AU97" i="30"/>
  <c r="AX97" i="30"/>
  <c r="AD97" i="30"/>
  <c r="AC97" i="30"/>
  <c r="AS97" i="30"/>
  <c r="AN97" i="30"/>
  <c r="S97" i="30"/>
  <c r="U97" i="30"/>
  <c r="AW97" i="30"/>
  <c r="AO97" i="30"/>
  <c r="V97" i="30"/>
  <c r="Z97" i="30"/>
  <c r="AV97" i="30"/>
  <c r="AM97" i="30"/>
  <c r="AA97" i="30"/>
  <c r="AF97" i="30"/>
  <c r="AZ97" i="30"/>
  <c r="AL97" i="30"/>
  <c r="AB97" i="30"/>
  <c r="X97" i="30"/>
  <c r="Y97" i="30"/>
  <c r="AK97" i="30"/>
  <c r="AP97" i="30"/>
  <c r="AE97" i="30"/>
  <c r="W97" i="30"/>
  <c r="Q97" i="30" l="1"/>
  <c r="AJ97" i="30" s="1"/>
  <c r="AV98" i="30"/>
  <c r="AK98" i="30"/>
  <c r="AU98" i="30"/>
  <c r="T98" i="30"/>
  <c r="V98" i="30"/>
  <c r="AC98" i="30"/>
  <c r="AN98" i="30"/>
  <c r="X98" i="30"/>
  <c r="AB98" i="30"/>
  <c r="AL98" i="30"/>
  <c r="AS98" i="30"/>
  <c r="AF98" i="30"/>
  <c r="AT98" i="30"/>
  <c r="AZ98" i="30"/>
  <c r="Z98" i="30"/>
  <c r="R98" i="30"/>
  <c r="AR98" i="30"/>
  <c r="AX98" i="30"/>
  <c r="S98" i="30"/>
  <c r="AE98" i="30"/>
  <c r="AQ98" i="30"/>
  <c r="AY98" i="30"/>
  <c r="Y98" i="30"/>
  <c r="AA98" i="30"/>
  <c r="AP98" i="30"/>
  <c r="AD98" i="30"/>
  <c r="AO98" i="30"/>
  <c r="W98" i="30"/>
  <c r="AW98" i="30"/>
  <c r="AM98" i="30"/>
  <c r="AG98" i="30"/>
  <c r="U98" i="30"/>
  <c r="Q98" i="30" l="1"/>
  <c r="AJ98" i="30" s="1"/>
  <c r="AR99" i="30"/>
  <c r="AQ99" i="30"/>
  <c r="R99" i="30"/>
  <c r="Y99" i="30"/>
  <c r="AY99" i="30"/>
  <c r="AK99" i="30"/>
  <c r="AO99" i="30"/>
  <c r="AG99" i="30"/>
  <c r="T99" i="30"/>
  <c r="AW99" i="30"/>
  <c r="AE99" i="30"/>
  <c r="W99" i="30"/>
  <c r="AM99" i="30"/>
  <c r="U99" i="30"/>
  <c r="AX99" i="30"/>
  <c r="AU99" i="30"/>
  <c r="AB99" i="30"/>
  <c r="S99" i="30"/>
  <c r="AS99" i="30"/>
  <c r="AD99" i="30"/>
  <c r="V99" i="30"/>
  <c r="AT99" i="30"/>
  <c r="AN99" i="30"/>
  <c r="X99" i="30"/>
  <c r="AF99" i="30"/>
  <c r="AZ99" i="30"/>
  <c r="AA99" i="30"/>
  <c r="Z99" i="30"/>
  <c r="AV99" i="30"/>
  <c r="AC99" i="30"/>
  <c r="AL99" i="30"/>
  <c r="AP99" i="30"/>
  <c r="Q99" i="30" l="1"/>
  <c r="AJ99" i="30" s="1"/>
  <c r="AW100" i="30"/>
  <c r="AQ100" i="30"/>
  <c r="X100" i="30"/>
  <c r="AB100" i="30"/>
  <c r="AZ100" i="30"/>
  <c r="AR100" i="30"/>
  <c r="AK100" i="30"/>
  <c r="S100" i="30"/>
  <c r="T100" i="30"/>
  <c r="AC100" i="30"/>
  <c r="AE100" i="30"/>
  <c r="AM100" i="30"/>
  <c r="AA100" i="30"/>
  <c r="R100" i="30"/>
  <c r="AU100" i="30"/>
  <c r="AT100" i="30"/>
  <c r="V100" i="30"/>
  <c r="AY100" i="30"/>
  <c r="AP100" i="30"/>
  <c r="W100" i="30"/>
  <c r="AD100" i="30"/>
  <c r="AF100" i="30"/>
  <c r="AV100" i="30"/>
  <c r="AN100" i="30"/>
  <c r="AG100" i="30"/>
  <c r="Y100" i="30"/>
  <c r="AO100" i="30"/>
  <c r="U100" i="30"/>
  <c r="Z100" i="30"/>
  <c r="AL100" i="30"/>
  <c r="AS100" i="30"/>
  <c r="AX100" i="30"/>
  <c r="Q100" i="30" l="1"/>
  <c r="AJ100" i="30" s="1"/>
  <c r="AR101" i="30"/>
  <c r="AQ101" i="30"/>
  <c r="X101" i="30"/>
  <c r="AD101" i="30"/>
  <c r="AF101" i="30"/>
  <c r="AK101" i="30"/>
  <c r="AZ101" i="30"/>
  <c r="Y101" i="30"/>
  <c r="AB101" i="30"/>
  <c r="T101" i="30"/>
  <c r="Z101" i="30"/>
  <c r="AT101" i="30"/>
  <c r="AV101" i="30"/>
  <c r="AA101" i="30"/>
  <c r="AG101" i="30"/>
  <c r="AL101" i="30"/>
  <c r="AM101" i="30"/>
  <c r="AX101" i="30"/>
  <c r="AN101" i="30"/>
  <c r="S101" i="30"/>
  <c r="W101" i="30"/>
  <c r="AY101" i="30"/>
  <c r="AC101" i="30"/>
  <c r="AW101" i="30"/>
  <c r="AP101" i="30"/>
  <c r="U101" i="30"/>
  <c r="V101" i="30"/>
  <c r="AS101" i="30"/>
  <c r="AE101" i="30"/>
  <c r="R101" i="30"/>
  <c r="AO101" i="30"/>
  <c r="AU101" i="30"/>
  <c r="Q101" i="30" l="1"/>
  <c r="AJ101" i="30" s="1"/>
  <c r="AK102" i="30"/>
  <c r="AQ102" i="30"/>
  <c r="W102" i="30"/>
  <c r="AE102" i="30"/>
  <c r="AT102" i="30"/>
  <c r="AY102" i="30"/>
  <c r="S102" i="30"/>
  <c r="AD102" i="30"/>
  <c r="AU102" i="30"/>
  <c r="AS102" i="30"/>
  <c r="X102" i="30"/>
  <c r="Y102" i="30"/>
  <c r="V102" i="30"/>
  <c r="AV102" i="30"/>
  <c r="AG102" i="30"/>
  <c r="R102" i="30"/>
  <c r="AW102" i="30"/>
  <c r="AP102" i="30"/>
  <c r="AC102" i="30"/>
  <c r="AA102" i="30"/>
  <c r="AZ102" i="30"/>
  <c r="AF102" i="30"/>
  <c r="AM102" i="30"/>
  <c r="U102" i="30"/>
  <c r="AX102" i="30"/>
  <c r="AL102" i="30"/>
  <c r="AB102" i="30"/>
  <c r="Z102" i="30"/>
  <c r="AO102" i="30"/>
  <c r="AN102" i="30"/>
  <c r="T102" i="30"/>
  <c r="AR102" i="30"/>
  <c r="Q102" i="30" l="1"/>
  <c r="AJ102" i="30" s="1"/>
</calcChain>
</file>

<file path=xl/sharedStrings.xml><?xml version="1.0" encoding="utf-8"?>
<sst xmlns="http://schemas.openxmlformats.org/spreadsheetml/2006/main" count="275" uniqueCount="225">
  <si>
    <t>Inductance (mH)</t>
  </si>
  <si>
    <t>mm/s</t>
  </si>
  <si>
    <t>Model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</si>
  <si>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</si>
  <si>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</si>
  <si>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</si>
  <si>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</si>
  <si>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</si>
  <si>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</si>
  <si>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</si>
  <si>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</si>
  <si>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</si>
  <si>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</si>
  <si>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Moons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</si>
  <si>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</si>
  <si>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</si>
  <si>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</si>
  <si>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</si>
  <si>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</si>
  <si>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</si>
  <si>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</si>
  <si>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</si>
  <si>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MS17HA2P4200</t>
  </si>
  <si>
    <t>42STH40-2004MAH(VRN)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</si>
  <si>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</si>
  <si>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</si>
  <si>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</si>
  <si>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</si>
  <si>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</si>
  <si>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</si>
  <si>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</si>
  <si>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</si>
  <si>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</si>
  <si>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</si>
  <si>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</si>
  <si>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</si>
  <si>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</si>
  <si>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</si>
  <si>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</si>
  <si>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</si>
  <si>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</si>
  <si>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</si>
  <si>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</si>
  <si>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</si>
  <si>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</si>
  <si>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</si>
  <si>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</si>
  <si>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</si>
  <si>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</si>
  <si>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</si>
  <si>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</si>
  <si>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</si>
  <si>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Amps</t>
  </si>
  <si>
    <t>Volts</t>
  </si>
  <si>
    <t>Teeth</t>
  </si>
  <si>
    <t>N-cm</t>
  </si>
  <si>
    <t>Torque Rotor</t>
  </si>
  <si>
    <t>g</t>
  </si>
  <si>
    <t>Torque Required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</si>
  <si>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</si>
  <si>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</si>
  <si>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</si>
  <si>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</si>
  <si>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</si>
  <si>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</si>
  <si>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</si>
  <si>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</si>
  <si>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</si>
  <si>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</si>
  <si>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</si>
  <si>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</si>
  <si>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</si>
  <si>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</si>
  <si>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</si>
  <si>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</si>
  <si>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</si>
  <si>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</si>
  <si>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</si>
  <si>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</si>
  <si>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</si>
  <si>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</si>
  <si>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</si>
  <si>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</si>
  <si>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</si>
  <si>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</si>
  <si>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</si>
  <si>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</si>
  <si>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</si>
  <si>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</si>
  <si>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</si>
  <si>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</si>
  <si>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</si>
  <si>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</si>
  <si>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</si>
  <si>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</si>
  <si>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</si>
  <si>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</si>
  <si>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</si>
  <si>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FYSETC</t>
  </si>
  <si>
    <t>V0.1 AB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</si>
  <si>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</si>
  <si>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</si>
  <si>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</si>
  <si>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</si>
  <si>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</si>
  <si>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</si>
  <si>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</si>
  <si>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</si>
  <si>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</si>
  <si>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</si>
  <si>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</si>
  <si>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</si>
  <si>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</si>
  <si>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</si>
  <si>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</si>
  <si>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</si>
  <si>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</si>
  <si>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</si>
  <si>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</si>
  <si>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</si>
  <si>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</si>
  <si>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</si>
  <si>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</si>
  <si>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</si>
  <si>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</si>
  <si>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</si>
  <si>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</si>
  <si>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</si>
  <si>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</si>
  <si>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</si>
  <si>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</si>
  <si>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W</t>
  </si>
  <si>
    <t>Max Current at Specified Power</t>
  </si>
  <si>
    <t>Power at drive current</t>
  </si>
  <si>
    <t>42STH48-2504AH</t>
  </si>
  <si>
    <t>42STH48-2504AC</t>
  </si>
  <si>
    <t>36STH20-1004AHG(XH)</t>
  </si>
  <si>
    <t>42STH48-2004MAH(VRN)</t>
  </si>
  <si>
    <t>42STH48-2004AC(VRN)</t>
  </si>
  <si>
    <t>https://cdn.shopify.com/s/files/1/0887/0138/files/LDO-42STH40-1004MAHVRN-RevA.pdf?v=1595617094</t>
  </si>
  <si>
    <t>42STH40-1004MAH(VRN)</t>
  </si>
  <si>
    <t>HANPOSE-17HS84401</t>
    <phoneticPr fontId="9" type="noConversion"/>
  </si>
  <si>
    <t>Hanpose</t>
    <phoneticPr fontId="9" type="noConversion"/>
  </si>
  <si>
    <t>17HS84401</t>
    <phoneticPr fontId="9" type="noConversion"/>
  </si>
  <si>
    <t>Yisheng</t>
    <phoneticPr fontId="9" type="noConversion"/>
  </si>
  <si>
    <t>Yisheng 42CM06-01</t>
    <phoneticPr fontId="9" type="noConversion"/>
  </si>
  <si>
    <t>42CM06-01</t>
    <phoneticPr fontId="9" type="noConversion"/>
  </si>
  <si>
    <t>Wantai 42BYGHW811</t>
    <phoneticPr fontId="9" type="noConversion"/>
  </si>
  <si>
    <t>Wantai</t>
    <phoneticPr fontId="9" type="noConversion"/>
  </si>
  <si>
    <t>42BYGHW811</t>
    <phoneticPr fontId="9" type="noConversion"/>
  </si>
  <si>
    <t>HANPOSE 42HS48</t>
    <phoneticPr fontId="9" type="noConversion"/>
  </si>
  <si>
    <t>HANPOSE</t>
    <phoneticPr fontId="9" type="noConversion"/>
  </si>
  <si>
    <t>42HS48</t>
    <phoneticPr fontId="9" type="noConversion"/>
  </si>
  <si>
    <t>HANPOSE 42HS8402</t>
    <phoneticPr fontId="9" type="noConversion"/>
  </si>
  <si>
    <t>42HS8402</t>
    <phoneticPr fontId="9" type="noConversion"/>
  </si>
  <si>
    <t>HANPOSE 42HS60</t>
    <phoneticPr fontId="9" type="noConversion"/>
  </si>
  <si>
    <t>42HS6401S</t>
    <phoneticPr fontId="9" type="noConversion"/>
  </si>
  <si>
    <t>Leadshine 42CM06-1A</t>
    <phoneticPr fontId="9" type="noConversion"/>
  </si>
  <si>
    <t>42CM06-1A</t>
    <phoneticPr fontId="9" type="noConversion"/>
  </si>
  <si>
    <t>Moons-MS17HD6P420I-05</t>
    <phoneticPr fontId="9" type="noConversion"/>
  </si>
  <si>
    <t>MS17HD6P420I-05</t>
    <phoneticPr fontId="9" type="noConversion"/>
  </si>
  <si>
    <t>Moons</t>
    <phoneticPr fontId="9" type="noConversion"/>
  </si>
  <si>
    <t>RPS</t>
    <phoneticPr fontId="2" type="noConversion"/>
  </si>
  <si>
    <t>HANPOSE 42HS80</t>
    <phoneticPr fontId="9" type="noConversion"/>
  </si>
  <si>
    <t>42HS80</t>
    <phoneticPr fontId="9" type="noConversion"/>
  </si>
  <si>
    <t>输入电压</t>
    <phoneticPr fontId="2" type="noConversion"/>
  </si>
  <si>
    <t>最大运行电流</t>
    <phoneticPr fontId="2" type="noConversion"/>
  </si>
  <si>
    <t>最大运行电流比例</t>
    <phoneticPr fontId="2" type="noConversion"/>
  </si>
  <si>
    <t>最大功率</t>
    <phoneticPr fontId="2" type="noConversion"/>
  </si>
  <si>
    <t>同步轮大小</t>
    <phoneticPr fontId="2" type="noConversion"/>
  </si>
  <si>
    <t>齿轮比</t>
    <phoneticPr fontId="2" type="noConversion"/>
  </si>
  <si>
    <t>加速度</t>
    <phoneticPr fontId="2" type="noConversion"/>
  </si>
  <si>
    <t>打印头+Y轴重量</t>
    <phoneticPr fontId="2" type="noConversion"/>
  </si>
  <si>
    <t>需求扭矩</t>
    <phoneticPr fontId="2" type="noConversion"/>
  </si>
  <si>
    <t>Qipang 42-48</t>
    <phoneticPr fontId="9" type="noConversion"/>
  </si>
  <si>
    <t>42-48</t>
    <phoneticPr fontId="9" type="noConversion"/>
  </si>
  <si>
    <t>Yuhui 42BYGH47-401A</t>
    <phoneticPr fontId="9" type="noConversion"/>
  </si>
  <si>
    <t>42BYGH47-401A</t>
    <phoneticPr fontId="9" type="noConversion"/>
  </si>
  <si>
    <t>启庞店没有具体型号</t>
    <phoneticPr fontId="9" type="noConversion"/>
  </si>
  <si>
    <t>42BYGH48-2504</t>
    <phoneticPr fontId="9" type="noConversion"/>
  </si>
  <si>
    <t>KH 42BYGH48-2504</t>
    <phoneticPr fontId="9" type="noConversion"/>
  </si>
  <si>
    <t>凯鸿</t>
    <phoneticPr fontId="9" type="noConversion"/>
  </si>
  <si>
    <t>宇辉</t>
    <phoneticPr fontId="9" type="noConversion"/>
  </si>
  <si>
    <t>启庞</t>
    <phoneticPr fontId="9" type="noConversion"/>
  </si>
  <si>
    <t>雷赛</t>
    <phoneticPr fontId="9" type="noConversion"/>
  </si>
  <si>
    <t>Yisheng 42CM06-01</t>
  </si>
  <si>
    <t>StepperOnline 17HS19-2004S1</t>
    <phoneticPr fontId="9" type="noConversion"/>
  </si>
  <si>
    <t>17HS19-2004S1</t>
    <phoneticPr fontId="9" type="noConversion"/>
  </si>
  <si>
    <t>StepperOnline</t>
    <phoneticPr fontId="9" type="noConversion"/>
  </si>
  <si>
    <t>LDO-42STH48-2004AC(VRN)</t>
  </si>
  <si>
    <t>耗材线径</t>
    <phoneticPr fontId="9" type="noConversion"/>
  </si>
  <si>
    <t>打印线宽</t>
    <phoneticPr fontId="9" type="noConversion"/>
  </si>
  <si>
    <t>mm</t>
    <phoneticPr fontId="9" type="noConversion"/>
  </si>
  <si>
    <t>mm/s</t>
    <phoneticPr fontId="9" type="noConversion"/>
  </si>
  <si>
    <t>mm^3/s</t>
    <phoneticPr fontId="9" type="noConversion"/>
  </si>
  <si>
    <t>送料速度</t>
    <phoneticPr fontId="9" type="noConversion"/>
  </si>
  <si>
    <t>打印流量</t>
    <phoneticPr fontId="9" type="noConversion"/>
  </si>
  <si>
    <t>电机转速</t>
    <phoneticPr fontId="9" type="noConversion"/>
  </si>
  <si>
    <t>减速比</t>
    <phoneticPr fontId="9" type="noConversion"/>
  </si>
  <si>
    <t>RPS</t>
    <phoneticPr fontId="9" type="noConversion"/>
  </si>
  <si>
    <t>Bondtech 5mm Drive Gears</t>
    <phoneticPr fontId="9" type="noConversion"/>
  </si>
  <si>
    <t>Clockwork 2</t>
    <phoneticPr fontId="9" type="noConversion"/>
  </si>
  <si>
    <t>打印层高</t>
    <phoneticPr fontId="9" type="noConversion"/>
  </si>
  <si>
    <t>打印速度</t>
    <phoneticPr fontId="9" type="noConversion"/>
  </si>
  <si>
    <t>挤出齿轮周长</t>
    <phoneticPr fontId="9" type="noConversion"/>
  </si>
  <si>
    <t>Rotation Per Second</t>
    <phoneticPr fontId="9" type="noConversion"/>
  </si>
  <si>
    <t>42CM06</t>
    <phoneticPr fontId="9" type="noConversion"/>
  </si>
  <si>
    <t>Leadshine 42CM06</t>
  </si>
  <si>
    <t>Leadshine 42CM06</t>
    <phoneticPr fontId="9" type="noConversion"/>
  </si>
  <si>
    <t>走线长度</t>
    <phoneticPr fontId="9" type="noConversion"/>
  </si>
  <si>
    <t>预期速度</t>
    <phoneticPr fontId="9" type="noConversion"/>
  </si>
  <si>
    <t>mm/s2</t>
    <phoneticPr fontId="9" type="noConversion"/>
  </si>
  <si>
    <t>加速度1</t>
    <phoneticPr fontId="9" type="noConversion"/>
  </si>
  <si>
    <t>加速度2</t>
  </si>
  <si>
    <t>加速度3</t>
  </si>
  <si>
    <t>走线距离（mm）</t>
    <phoneticPr fontId="9" type="noConversion"/>
  </si>
  <si>
    <t>瞬时速度1 （mm/s）</t>
    <phoneticPr fontId="9" type="noConversion"/>
  </si>
  <si>
    <t>瞬时速度2（mm/s）</t>
    <phoneticPr fontId="9" type="noConversion"/>
  </si>
  <si>
    <t>瞬时速度3（mm/s）</t>
    <phoneticPr fontId="9" type="noConversion"/>
  </si>
  <si>
    <t>IF((SQRT($B$3*(O4-O3))+P3)&gt;$B$7, $B$7, SQRT($B$3*(O4-O3))+P3)</t>
    <phoneticPr fontId="9" type="noConversion"/>
  </si>
  <si>
    <t>KH 42BYGH60-1304</t>
    <phoneticPr fontId="9" type="noConversion"/>
  </si>
  <si>
    <t>42BYGH60-1304</t>
    <phoneticPr fontId="9" type="noConversion"/>
  </si>
  <si>
    <t>HANPOSE 42HS48</t>
  </si>
  <si>
    <t>HANPOSE 42HS8402</t>
  </si>
  <si>
    <t>LDO-42STH48-1684MAH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</si>
</sst>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10" x14ac:knownFonts="1"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8"/>
      <name val="等线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0" tint="-0.34998626667073579"/>
      <name val="等线"/>
      <family val="2"/>
      <scheme val="minor"/>
    </font>
    <font>
      <sz val="11"/>
      <name val="等线"/>
      <family val="2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76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77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77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0" fillId="0" borderId="1" xfId="0" applyBorder="1"/>
    <xf numFmtId="0" fontId="0" fillId="3" borderId="1" xfId="0" applyFill="1" applyBorder="1"/>
    <xf numFmtId="9" fontId="0" fillId="3" borderId="1" xfId="0" applyNumberFormat="1" applyFill="1" applyBorder="1"/>
    <xf numFmtId="2" fontId="0" fillId="4" borderId="1" xfId="0" applyNumberFormat="1" applyFill="1" applyBorder="1"/>
    <xf numFmtId="0" fontId="0" fillId="3" borderId="0" xfId="0" applyFill="1" applyAlignment="1">
      <alignment horizontal="right"/>
    </xf>
    <xf numFmtId="0" fontId="0" fillId="3" borderId="0" xfId="0" applyFill="1"/>
    <xf numFmtId="177" fontId="0" fillId="5" borderId="0" xfId="0" applyNumberFormat="1" applyFill="1"/>
    <xf numFmtId="12" fontId="0" fillId="3" borderId="0" xfId="0" applyNumberFormat="1" applyFill="1"/>
    <xf numFmtId="0" fontId="0" fillId="0" borderId="0" xfId="0" applyAlignment="1">
      <alignment horizontal="left" textRotation="45"/>
    </xf>
    <xf numFmtId="0" fontId="0" fillId="0" borderId="0" xfId="0" applyAlignment="1">
      <alignment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4.xml"/><Relationship Id="rId12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hartsheet" Target="chartsheets/sheet4.xml"/><Relationship Id="rId5" Type="http://schemas.openxmlformats.org/officeDocument/2006/relationships/worksheet" Target="worksheets/sheet2.xml"/><Relationship Id="rId15" Type="http://schemas.openxmlformats.org/officeDocument/2006/relationships/calcChain" Target="calcChain.xml"/><Relationship Id="rId10" Type="http://schemas.openxmlformats.org/officeDocument/2006/relationships/worksheet" Target="worksheets/sheet7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6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'Gantry UI'!$AJ$1</c:f>
          <c:strCache>
            <c:ptCount val="1"/>
            <c:pt idx="0">
              <c:v>Stepper Power, 24V, 20T, 20k, 1000g,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'Gantry UI'!$R$2</c:f>
              <c:strCache>
                <c:ptCount val="1"/>
                <c:pt idx="0">
                  <c:v>Leadshine 42CM06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UI'!$R$3:$R$102</c:f>
              <c:numCache>
                <c:formatCode>0.0</c:formatCode>
                <c:ptCount val="100"/>
                <c:pt idx="0">
                  <c:v>14.711179173432322</c:v>
                </c:pt>
                <c:pt idx="1">
                  <c:v>14.711179173432322</c:v>
                </c:pt>
                <c:pt idx="2">
                  <c:v>14.711179173432322</c:v>
                </c:pt>
                <c:pt idx="3">
                  <c:v>14.711179173432322</c:v>
                </c:pt>
                <c:pt idx="4">
                  <c:v>14.711179173432322</c:v>
                </c:pt>
                <c:pt idx="5">
                  <c:v>14.711179173432322</c:v>
                </c:pt>
                <c:pt idx="6">
                  <c:v>14.711179173432322</c:v>
                </c:pt>
                <c:pt idx="7">
                  <c:v>14.711179173432322</c:v>
                </c:pt>
                <c:pt idx="8">
                  <c:v>14.711179173432322</c:v>
                </c:pt>
                <c:pt idx="9">
                  <c:v>14.711179173432322</c:v>
                </c:pt>
                <c:pt idx="10">
                  <c:v>14.711179173432322</c:v>
                </c:pt>
                <c:pt idx="11">
                  <c:v>14.711179173432322</c:v>
                </c:pt>
                <c:pt idx="12">
                  <c:v>14.711179173432322</c:v>
                </c:pt>
                <c:pt idx="13">
                  <c:v>14.711179173432322</c:v>
                </c:pt>
                <c:pt idx="14">
                  <c:v>14.711179173432322</c:v>
                </c:pt>
                <c:pt idx="15">
                  <c:v>14.711179173432322</c:v>
                </c:pt>
                <c:pt idx="16">
                  <c:v>14.711179173432322</c:v>
                </c:pt>
                <c:pt idx="17">
                  <c:v>14.711179173432322</c:v>
                </c:pt>
                <c:pt idx="18">
                  <c:v>14.711179173432322</c:v>
                </c:pt>
                <c:pt idx="19">
                  <c:v>14.711179173432322</c:v>
                </c:pt>
                <c:pt idx="20">
                  <c:v>14.711179173432322</c:v>
                </c:pt>
                <c:pt idx="21">
                  <c:v>14.711179173432322</c:v>
                </c:pt>
                <c:pt idx="22">
                  <c:v>14.711179173432322</c:v>
                </c:pt>
                <c:pt idx="23">
                  <c:v>14.711179173432322</c:v>
                </c:pt>
                <c:pt idx="24">
                  <c:v>14.711179173432322</c:v>
                </c:pt>
                <c:pt idx="25">
                  <c:v>14.711179173432322</c:v>
                </c:pt>
                <c:pt idx="26">
                  <c:v>14.711179173432322</c:v>
                </c:pt>
                <c:pt idx="27">
                  <c:v>14.711179173432322</c:v>
                </c:pt>
                <c:pt idx="28">
                  <c:v>14.711179173432322</c:v>
                </c:pt>
                <c:pt idx="29">
                  <c:v>14.711179173432322</c:v>
                </c:pt>
                <c:pt idx="30">
                  <c:v>13.834482731880469</c:v>
                </c:pt>
                <c:pt idx="31">
                  <c:v>12.327667823454242</c:v>
                </c:pt>
                <c:pt idx="32">
                  <c:v>10.905550423210686</c:v>
                </c:pt>
                <c:pt idx="33">
                  <c:v>9.5611845240242168</c:v>
                </c:pt>
                <c:pt idx="34">
                  <c:v>8.2883634274786626</c:v>
                </c:pt>
                <c:pt idx="35">
                  <c:v>7.0815239315568217</c:v>
                </c:pt>
                <c:pt idx="36">
                  <c:v>5.9356650422816752</c:v>
                </c:pt>
                <c:pt idx="37">
                  <c:v>4.8462787040128461</c:v>
                </c:pt>
                <c:pt idx="38">
                  <c:v>3.8092905251087976</c:v>
                </c:pt>
                <c:pt idx="39">
                  <c:v>2.8210088557944819</c:v>
                </c:pt>
                <c:pt idx="40">
                  <c:v>1.8780808767022221</c:v>
                </c:pt>
                <c:pt idx="41">
                  <c:v>0.9774545972892712</c:v>
                </c:pt>
                <c:pt idx="42">
                  <c:v>0.11634585653778862</c:v>
                </c:pt>
                <c:pt idx="43">
                  <c:v>-0.7077904257835792</c:v>
                </c:pt>
                <c:pt idx="44">
                  <c:v>-1.4972853726275122</c:v>
                </c:pt>
                <c:pt idx="45">
                  <c:v>-2.2542781703009998</c:v>
                </c:pt>
                <c:pt idx="46">
                  <c:v>-2.2619467105846511</c:v>
                </c:pt>
                <c:pt idx="47">
                  <c:v>-2.2619467105846511</c:v>
                </c:pt>
                <c:pt idx="48">
                  <c:v>-2.2619467105846511</c:v>
                </c:pt>
                <c:pt idx="49">
                  <c:v>-2.2619467105846511</c:v>
                </c:pt>
                <c:pt idx="50">
                  <c:v>-2.2619467105846511</c:v>
                </c:pt>
                <c:pt idx="51">
                  <c:v>-2.2619467105846511</c:v>
                </c:pt>
                <c:pt idx="52">
                  <c:v>-2.2619467105846511</c:v>
                </c:pt>
                <c:pt idx="53">
                  <c:v>-2.2619467105846511</c:v>
                </c:pt>
                <c:pt idx="54">
                  <c:v>-2.2619467105846511</c:v>
                </c:pt>
                <c:pt idx="55">
                  <c:v>-2.2619467105846511</c:v>
                </c:pt>
                <c:pt idx="56">
                  <c:v>-2.2619467105846511</c:v>
                </c:pt>
                <c:pt idx="57">
                  <c:v>-2.2619467105846511</c:v>
                </c:pt>
                <c:pt idx="58">
                  <c:v>-2.2619467105846511</c:v>
                </c:pt>
                <c:pt idx="59">
                  <c:v>-2.2619467105846511</c:v>
                </c:pt>
                <c:pt idx="60">
                  <c:v>-2.2619467105846511</c:v>
                </c:pt>
                <c:pt idx="61">
                  <c:v>-2.2619467105846511</c:v>
                </c:pt>
                <c:pt idx="62">
                  <c:v>-2.2619467105846511</c:v>
                </c:pt>
                <c:pt idx="63">
                  <c:v>-2.2619467105846511</c:v>
                </c:pt>
                <c:pt idx="64">
                  <c:v>-2.2619467105846511</c:v>
                </c:pt>
                <c:pt idx="65">
                  <c:v>-2.2619467105846511</c:v>
                </c:pt>
                <c:pt idx="66">
                  <c:v>-2.2619467105846511</c:v>
                </c:pt>
                <c:pt idx="67">
                  <c:v>-2.2619467105846511</c:v>
                </c:pt>
                <c:pt idx="68">
                  <c:v>-2.2619467105846511</c:v>
                </c:pt>
                <c:pt idx="69">
                  <c:v>-2.2619467105846511</c:v>
                </c:pt>
                <c:pt idx="70">
                  <c:v>-2.2619467105846511</c:v>
                </c:pt>
                <c:pt idx="71">
                  <c:v>-2.2619467105846511</c:v>
                </c:pt>
                <c:pt idx="72">
                  <c:v>-2.2619467105846511</c:v>
                </c:pt>
                <c:pt idx="73">
                  <c:v>-2.2619467105846511</c:v>
                </c:pt>
                <c:pt idx="74">
                  <c:v>-2.2619467105846511</c:v>
                </c:pt>
                <c:pt idx="75">
                  <c:v>-2.2619467105846511</c:v>
                </c:pt>
                <c:pt idx="76">
                  <c:v>-2.2619467105846511</c:v>
                </c:pt>
                <c:pt idx="77">
                  <c:v>-2.2619467105846511</c:v>
                </c:pt>
                <c:pt idx="78">
                  <c:v>-2.2619467105846511</c:v>
                </c:pt>
                <c:pt idx="79">
                  <c:v>-2.2619467105846511</c:v>
                </c:pt>
                <c:pt idx="80">
                  <c:v>-2.2619467105846511</c:v>
                </c:pt>
                <c:pt idx="81">
                  <c:v>-2.2619467105846511</c:v>
                </c:pt>
                <c:pt idx="82">
                  <c:v>-2.2619467105846511</c:v>
                </c:pt>
                <c:pt idx="83">
                  <c:v>-2.2619467105846511</c:v>
                </c:pt>
                <c:pt idx="84">
                  <c:v>-2.2619467105846511</c:v>
                </c:pt>
                <c:pt idx="85">
                  <c:v>-2.2619467105846511</c:v>
                </c:pt>
                <c:pt idx="86">
                  <c:v>-2.2619467105846511</c:v>
                </c:pt>
                <c:pt idx="87">
                  <c:v>-2.2619467105846511</c:v>
                </c:pt>
                <c:pt idx="88">
                  <c:v>-2.2619467105846511</c:v>
                </c:pt>
                <c:pt idx="89">
                  <c:v>-2.2619467105846511</c:v>
                </c:pt>
                <c:pt idx="90">
                  <c:v>-2.2619467105846511</c:v>
                </c:pt>
                <c:pt idx="91">
                  <c:v>-2.2619467105846511</c:v>
                </c:pt>
                <c:pt idx="92">
                  <c:v>-2.2619467105846511</c:v>
                </c:pt>
                <c:pt idx="93">
                  <c:v>-2.2619467105846511</c:v>
                </c:pt>
                <c:pt idx="94">
                  <c:v>-2.2619467105846511</c:v>
                </c:pt>
                <c:pt idx="95">
                  <c:v>-2.2619467105846511</c:v>
                </c:pt>
                <c:pt idx="96">
                  <c:v>-2.2619467105846511</c:v>
                </c:pt>
                <c:pt idx="97">
                  <c:v>-2.2619467105846511</c:v>
                </c:pt>
                <c:pt idx="98">
                  <c:v>-2.2619467105846511</c:v>
                </c:pt>
                <c:pt idx="99">
                  <c:v>-2.2619467105846511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'Gantry UI'!$S$2</c:f>
              <c:strCache>
                <c:ptCount val="1"/>
                <c:pt idx="0">
                  <c:v>Yisheng 42CM06-01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UI'!$S$3:$S$102</c:f>
              <c:numCache>
                <c:formatCode>0.0</c:formatCode>
                <c:ptCount val="100"/>
                <c:pt idx="0">
                  <c:v>19.356032623105179</c:v>
                </c:pt>
                <c:pt idx="1">
                  <c:v>19.356032623105179</c:v>
                </c:pt>
                <c:pt idx="2">
                  <c:v>19.356032623105179</c:v>
                </c:pt>
                <c:pt idx="3">
                  <c:v>19.356032623105179</c:v>
                </c:pt>
                <c:pt idx="4">
                  <c:v>19.356032623105179</c:v>
                </c:pt>
                <c:pt idx="5">
                  <c:v>19.356032623105179</c:v>
                </c:pt>
                <c:pt idx="6">
                  <c:v>19.356032623105179</c:v>
                </c:pt>
                <c:pt idx="7">
                  <c:v>19.356032623105179</c:v>
                </c:pt>
                <c:pt idx="8">
                  <c:v>19.356032623105179</c:v>
                </c:pt>
                <c:pt idx="9">
                  <c:v>19.356032623105179</c:v>
                </c:pt>
                <c:pt idx="10">
                  <c:v>19.356032623105179</c:v>
                </c:pt>
                <c:pt idx="11">
                  <c:v>19.356032623105179</c:v>
                </c:pt>
                <c:pt idx="12">
                  <c:v>19.356032623105179</c:v>
                </c:pt>
                <c:pt idx="13">
                  <c:v>19.356032623105179</c:v>
                </c:pt>
                <c:pt idx="14">
                  <c:v>19.356032623105179</c:v>
                </c:pt>
                <c:pt idx="15">
                  <c:v>19.356032623105179</c:v>
                </c:pt>
                <c:pt idx="16">
                  <c:v>19.356032623105179</c:v>
                </c:pt>
                <c:pt idx="17">
                  <c:v>19.109843415355346</c:v>
                </c:pt>
                <c:pt idx="18">
                  <c:v>16.977140256794851</c:v>
                </c:pt>
                <c:pt idx="19">
                  <c:v>15.038107635176701</c:v>
                </c:pt>
                <c:pt idx="20">
                  <c:v>13.267510544619345</c:v>
                </c:pt>
                <c:pt idx="21">
                  <c:v>11.644315606132256</c:v>
                </c:pt>
                <c:pt idx="22">
                  <c:v>10.150851549287072</c:v>
                </c:pt>
                <c:pt idx="23">
                  <c:v>8.772163249973989</c:v>
                </c:pt>
                <c:pt idx="24">
                  <c:v>7.4955091876636359</c:v>
                </c:pt>
                <c:pt idx="25">
                  <c:v>6.3099664980466965</c:v>
                </c:pt>
                <c:pt idx="26">
                  <c:v>5.2061176712585073</c:v>
                </c:pt>
                <c:pt idx="27">
                  <c:v>4.1757998603015594</c:v>
                </c:pt>
                <c:pt idx="28">
                  <c:v>3.2119026728311222</c:v>
                </c:pt>
                <c:pt idx="29">
                  <c:v>2.3082038485277425</c:v>
                </c:pt>
                <c:pt idx="30">
                  <c:v>1.4592347915683126</c:v>
                </c:pt>
                <c:pt idx="31">
                  <c:v>0.66016981589955748</c:v>
                </c:pt>
                <c:pt idx="32">
                  <c:v>-9.3265635992274998E-2</c:v>
                </c:pt>
                <c:pt idx="33">
                  <c:v>-0.80487148764520611</c:v>
                </c:pt>
                <c:pt idx="34">
                  <c:v>-1.4780371267134722</c:v>
                </c:pt>
                <c:pt idx="35">
                  <c:v>-2.1157953887049397</c:v>
                </c:pt>
                <c:pt idx="36">
                  <c:v>-2.2933626371205489</c:v>
                </c:pt>
                <c:pt idx="37">
                  <c:v>-2.2933626371205489</c:v>
                </c:pt>
                <c:pt idx="38">
                  <c:v>-2.2933626371205489</c:v>
                </c:pt>
                <c:pt idx="39">
                  <c:v>-2.2933626371205489</c:v>
                </c:pt>
                <c:pt idx="40">
                  <c:v>-2.2933626371205489</c:v>
                </c:pt>
                <c:pt idx="41">
                  <c:v>-2.2933626371205489</c:v>
                </c:pt>
                <c:pt idx="42">
                  <c:v>-2.2933626371205489</c:v>
                </c:pt>
                <c:pt idx="43">
                  <c:v>-2.2933626371205489</c:v>
                </c:pt>
                <c:pt idx="44">
                  <c:v>-2.2933626371205489</c:v>
                </c:pt>
                <c:pt idx="45">
                  <c:v>-2.2933626371205489</c:v>
                </c:pt>
                <c:pt idx="46">
                  <c:v>-2.2933626371205489</c:v>
                </c:pt>
                <c:pt idx="47">
                  <c:v>-2.2933626371205489</c:v>
                </c:pt>
                <c:pt idx="48">
                  <c:v>-2.2933626371205489</c:v>
                </c:pt>
                <c:pt idx="49">
                  <c:v>-2.2933626371205489</c:v>
                </c:pt>
                <c:pt idx="50">
                  <c:v>-2.2933626371205489</c:v>
                </c:pt>
                <c:pt idx="51">
                  <c:v>-2.2933626371205489</c:v>
                </c:pt>
                <c:pt idx="52">
                  <c:v>-2.2933626371205489</c:v>
                </c:pt>
                <c:pt idx="53">
                  <c:v>-2.2933626371205489</c:v>
                </c:pt>
                <c:pt idx="54">
                  <c:v>-2.2933626371205489</c:v>
                </c:pt>
                <c:pt idx="55">
                  <c:v>-2.2933626371205489</c:v>
                </c:pt>
                <c:pt idx="56">
                  <c:v>-2.2933626371205489</c:v>
                </c:pt>
                <c:pt idx="57">
                  <c:v>-2.2933626371205489</c:v>
                </c:pt>
                <c:pt idx="58">
                  <c:v>-2.2933626371205489</c:v>
                </c:pt>
                <c:pt idx="59">
                  <c:v>-2.2933626371205489</c:v>
                </c:pt>
                <c:pt idx="60">
                  <c:v>-2.2933626371205489</c:v>
                </c:pt>
                <c:pt idx="61">
                  <c:v>-2.2933626371205489</c:v>
                </c:pt>
                <c:pt idx="62">
                  <c:v>-2.2933626371205489</c:v>
                </c:pt>
                <c:pt idx="63">
                  <c:v>-2.2933626371205489</c:v>
                </c:pt>
                <c:pt idx="64">
                  <c:v>-2.2933626371205489</c:v>
                </c:pt>
                <c:pt idx="65">
                  <c:v>-2.2933626371205489</c:v>
                </c:pt>
                <c:pt idx="66">
                  <c:v>-2.2933626371205489</c:v>
                </c:pt>
                <c:pt idx="67">
                  <c:v>-2.2933626371205489</c:v>
                </c:pt>
                <c:pt idx="68">
                  <c:v>-2.2933626371205489</c:v>
                </c:pt>
                <c:pt idx="69">
                  <c:v>-2.2933626371205489</c:v>
                </c:pt>
                <c:pt idx="70">
                  <c:v>-2.2933626371205489</c:v>
                </c:pt>
                <c:pt idx="71">
                  <c:v>-2.2933626371205489</c:v>
                </c:pt>
                <c:pt idx="72">
                  <c:v>-2.2933626371205489</c:v>
                </c:pt>
                <c:pt idx="73">
                  <c:v>-2.2933626371205489</c:v>
                </c:pt>
                <c:pt idx="74">
                  <c:v>-2.2933626371205489</c:v>
                </c:pt>
                <c:pt idx="75">
                  <c:v>-2.2933626371205489</c:v>
                </c:pt>
                <c:pt idx="76">
                  <c:v>-2.2933626371205489</c:v>
                </c:pt>
                <c:pt idx="77">
                  <c:v>-2.2933626371205489</c:v>
                </c:pt>
                <c:pt idx="78">
                  <c:v>-2.2933626371205489</c:v>
                </c:pt>
                <c:pt idx="79">
                  <c:v>-2.2933626371205489</c:v>
                </c:pt>
                <c:pt idx="80">
                  <c:v>-2.2933626371205489</c:v>
                </c:pt>
                <c:pt idx="81">
                  <c:v>-2.2933626371205489</c:v>
                </c:pt>
                <c:pt idx="82">
                  <c:v>-2.2933626371205489</c:v>
                </c:pt>
                <c:pt idx="83">
                  <c:v>-2.2933626371205489</c:v>
                </c:pt>
                <c:pt idx="84">
                  <c:v>-2.2933626371205489</c:v>
                </c:pt>
                <c:pt idx="85">
                  <c:v>-2.2933626371205489</c:v>
                </c:pt>
                <c:pt idx="86">
                  <c:v>-2.2933626371205489</c:v>
                </c:pt>
                <c:pt idx="87">
                  <c:v>-2.2933626371205489</c:v>
                </c:pt>
                <c:pt idx="88">
                  <c:v>-2.2933626371205489</c:v>
                </c:pt>
                <c:pt idx="89">
                  <c:v>-2.2933626371205489</c:v>
                </c:pt>
                <c:pt idx="90">
                  <c:v>-2.2933626371205489</c:v>
                </c:pt>
                <c:pt idx="91">
                  <c:v>-2.2933626371205489</c:v>
                </c:pt>
                <c:pt idx="92">
                  <c:v>-2.2933626371205489</c:v>
                </c:pt>
                <c:pt idx="93">
                  <c:v>-2.2933626371205489</c:v>
                </c:pt>
                <c:pt idx="94">
                  <c:v>-2.2933626371205489</c:v>
                </c:pt>
                <c:pt idx="95">
                  <c:v>-2.2933626371205489</c:v>
                </c:pt>
                <c:pt idx="96">
                  <c:v>-2.2933626371205489</c:v>
                </c:pt>
                <c:pt idx="97">
                  <c:v>-2.2933626371205489</c:v>
                </c:pt>
                <c:pt idx="98">
                  <c:v>-2.2933626371205489</c:v>
                </c:pt>
                <c:pt idx="99">
                  <c:v>-2.2933626371205489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'Gantry UI'!$T$2</c:f>
              <c:strCache>
                <c:ptCount val="1"/>
                <c:pt idx="0">
                  <c:v>HANPOSE 42HS8402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UI'!$T$3:$T$102</c:f>
              <c:numCache>
                <c:formatCode>0.0</c:formatCode>
                <c:ptCount val="100"/>
                <c:pt idx="0">
                  <c:v>26.15226013558723</c:v>
                </c:pt>
                <c:pt idx="1">
                  <c:v>26.15226013558723</c:v>
                </c:pt>
                <c:pt idx="2">
                  <c:v>26.15226013558723</c:v>
                </c:pt>
                <c:pt idx="3">
                  <c:v>26.15226013558723</c:v>
                </c:pt>
                <c:pt idx="4">
                  <c:v>26.15226013558723</c:v>
                </c:pt>
                <c:pt idx="5">
                  <c:v>26.15226013558723</c:v>
                </c:pt>
                <c:pt idx="6">
                  <c:v>26.15226013558723</c:v>
                </c:pt>
                <c:pt idx="7">
                  <c:v>26.15226013558723</c:v>
                </c:pt>
                <c:pt idx="8">
                  <c:v>26.15226013558723</c:v>
                </c:pt>
                <c:pt idx="9">
                  <c:v>26.15226013558723</c:v>
                </c:pt>
                <c:pt idx="10">
                  <c:v>26.15226013558723</c:v>
                </c:pt>
                <c:pt idx="11">
                  <c:v>26.15226013558723</c:v>
                </c:pt>
                <c:pt idx="12">
                  <c:v>25.670256378301744</c:v>
                </c:pt>
                <c:pt idx="13">
                  <c:v>22.263529364491927</c:v>
                </c:pt>
                <c:pt idx="14">
                  <c:v>19.241654569994644</c:v>
                </c:pt>
                <c:pt idx="15">
                  <c:v>16.542904461014192</c:v>
                </c:pt>
                <c:pt idx="16">
                  <c:v>14.118082418665695</c:v>
                </c:pt>
                <c:pt idx="17">
                  <c:v>11.9274965442298</c:v>
                </c:pt>
                <c:pt idx="18">
                  <c:v>9.9387700430346264</c:v>
                </c:pt>
                <c:pt idx="19">
                  <c:v>8.1252302575226949</c:v>
                </c:pt>
                <c:pt idx="20">
                  <c:v>6.4647054698695658</c:v>
                </c:pt>
                <c:pt idx="21">
                  <c:v>4.9386139310133608</c:v>
                </c:pt>
                <c:pt idx="22">
                  <c:v>3.531265533983174</c:v>
                </c:pt>
                <c:pt idx="23">
                  <c:v>2.2293203906001193</c:v>
                </c:pt>
                <c:pt idx="24">
                  <c:v>1.0213646667168432</c:v>
                </c:pt>
                <c:pt idx="25">
                  <c:v>-0.10242491958398592</c:v>
                </c:pt>
                <c:pt idx="26">
                  <c:v>-1.1505488309564842</c:v>
                </c:pt>
                <c:pt idx="27">
                  <c:v>-2.130400125048169</c:v>
                </c:pt>
                <c:pt idx="28">
                  <c:v>-2.1362830044410592</c:v>
                </c:pt>
                <c:pt idx="29">
                  <c:v>-2.1362830044410592</c:v>
                </c:pt>
                <c:pt idx="30">
                  <c:v>-2.1362830044410592</c:v>
                </c:pt>
                <c:pt idx="31">
                  <c:v>-2.1362830044410592</c:v>
                </c:pt>
                <c:pt idx="32">
                  <c:v>-2.1362830044410592</c:v>
                </c:pt>
                <c:pt idx="33">
                  <c:v>-2.1362830044410592</c:v>
                </c:pt>
                <c:pt idx="34">
                  <c:v>-2.1362830044410592</c:v>
                </c:pt>
                <c:pt idx="35">
                  <c:v>-2.1362830044410592</c:v>
                </c:pt>
                <c:pt idx="36">
                  <c:v>-2.1362830044410592</c:v>
                </c:pt>
                <c:pt idx="37">
                  <c:v>-2.1362830044410592</c:v>
                </c:pt>
                <c:pt idx="38">
                  <c:v>-2.1362830044410592</c:v>
                </c:pt>
                <c:pt idx="39">
                  <c:v>-2.1362830044410592</c:v>
                </c:pt>
                <c:pt idx="40">
                  <c:v>-2.1362830044410592</c:v>
                </c:pt>
                <c:pt idx="41">
                  <c:v>-2.1362830044410592</c:v>
                </c:pt>
                <c:pt idx="42">
                  <c:v>-2.1362830044410592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'Gantry UI'!$U$2</c:f>
              <c:strCache>
                <c:ptCount val="1"/>
                <c:pt idx="0">
                  <c:v>HANPOSE 42HS48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UI'!$U$3:$U$102</c:f>
              <c:numCache>
                <c:formatCode>0.0</c:formatCode>
                <c:ptCount val="100"/>
                <c:pt idx="0" formatCode="General">
                  <c:v>18.29433148557937</c:v>
                </c:pt>
                <c:pt idx="1">
                  <c:v>18.29433148557937</c:v>
                </c:pt>
                <c:pt idx="2">
                  <c:v>18.29433148557937</c:v>
                </c:pt>
                <c:pt idx="3">
                  <c:v>18.29433148557937</c:v>
                </c:pt>
                <c:pt idx="4">
                  <c:v>18.29433148557937</c:v>
                </c:pt>
                <c:pt idx="5">
                  <c:v>18.29433148557937</c:v>
                </c:pt>
                <c:pt idx="6">
                  <c:v>18.29433148557937</c:v>
                </c:pt>
                <c:pt idx="7">
                  <c:v>18.29433148557937</c:v>
                </c:pt>
                <c:pt idx="8">
                  <c:v>18.29433148557937</c:v>
                </c:pt>
                <c:pt idx="9">
                  <c:v>18.29433148557937</c:v>
                </c:pt>
                <c:pt idx="10">
                  <c:v>18.29433148557937</c:v>
                </c:pt>
                <c:pt idx="11">
                  <c:v>18.29433148557937</c:v>
                </c:pt>
                <c:pt idx="12">
                  <c:v>18.29433148557937</c:v>
                </c:pt>
                <c:pt idx="13">
                  <c:v>18.29433148557937</c:v>
                </c:pt>
                <c:pt idx="14">
                  <c:v>18.29433148557937</c:v>
                </c:pt>
                <c:pt idx="15">
                  <c:v>18.29433148557937</c:v>
                </c:pt>
                <c:pt idx="16">
                  <c:v>18.29433148557937</c:v>
                </c:pt>
                <c:pt idx="17">
                  <c:v>18.29433148557937</c:v>
                </c:pt>
                <c:pt idx="18">
                  <c:v>18.29433148557937</c:v>
                </c:pt>
                <c:pt idx="19">
                  <c:v>18.29433148557937</c:v>
                </c:pt>
                <c:pt idx="20">
                  <c:v>17.106093434690905</c:v>
                </c:pt>
                <c:pt idx="21">
                  <c:v>15.261972666146628</c:v>
                </c:pt>
                <c:pt idx="22">
                  <c:v>13.562030322857312</c:v>
                </c:pt>
                <c:pt idx="23">
                  <c:v>11.989994113283977</c:v>
                </c:pt>
                <c:pt idx="24">
                  <c:v>10.531951665739472</c:v>
                </c:pt>
                <c:pt idx="25">
                  <c:v>9.1759376820448555</c:v>
                </c:pt>
                <c:pt idx="26">
                  <c:v>7.9116048297468193</c:v>
                </c:pt>
                <c:pt idx="27">
                  <c:v>6.7299592051720563</c:v>
                </c:pt>
                <c:pt idx="28">
                  <c:v>5.6231460550883199</c:v>
                </c:pt>
                <c:pt idx="29">
                  <c:v>4.5842749589839329</c:v>
                </c:pt>
                <c:pt idx="30">
                  <c:v>3.6072762463747314</c:v>
                </c:pt>
                <c:pt idx="31">
                  <c:v>2.6867823264578861</c:v>
                </c:pt>
                <c:pt idx="32">
                  <c:v>1.8180290290144958</c:v>
                </c:pt>
                <c:pt idx="33">
                  <c:v>0.99677312729451462</c:v>
                </c:pt>
                <c:pt idx="34">
                  <c:v>0.21922302876531763</c:v>
                </c:pt>
                <c:pt idx="35">
                  <c:v>-0.51801975540106637</c:v>
                </c:pt>
                <c:pt idx="36">
                  <c:v>-1.2180102683447345</c:v>
                </c:pt>
                <c:pt idx="37">
                  <c:v>-1.8835024234922244</c:v>
                </c:pt>
                <c:pt idx="38">
                  <c:v>-2.1362830044410592</c:v>
                </c:pt>
                <c:pt idx="39">
                  <c:v>-2.1362830044410592</c:v>
                </c:pt>
                <c:pt idx="40">
                  <c:v>-2.1362830044410592</c:v>
                </c:pt>
                <c:pt idx="41">
                  <c:v>-2.1362830044410592</c:v>
                </c:pt>
                <c:pt idx="42">
                  <c:v>-2.1362830044410592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'Gantry UI'!$V$2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UI'!$V$3:$V$102</c:f>
              <c:numCache>
                <c:formatCode>0.0</c:formatCode>
                <c:ptCount val="100"/>
                <c:pt idx="0">
                  <c:v>14.281175067896784</c:v>
                </c:pt>
                <c:pt idx="1">
                  <c:v>14.281175067896784</c:v>
                </c:pt>
                <c:pt idx="2">
                  <c:v>14.281175067896784</c:v>
                </c:pt>
                <c:pt idx="3">
                  <c:v>14.281175067896784</c:v>
                </c:pt>
                <c:pt idx="4">
                  <c:v>14.281175067896784</c:v>
                </c:pt>
                <c:pt idx="5">
                  <c:v>14.281175067896784</c:v>
                </c:pt>
                <c:pt idx="6">
                  <c:v>14.281175067896784</c:v>
                </c:pt>
                <c:pt idx="7">
                  <c:v>14.281175067896784</c:v>
                </c:pt>
                <c:pt idx="8">
                  <c:v>14.281175067896784</c:v>
                </c:pt>
                <c:pt idx="9">
                  <c:v>14.281175067896784</c:v>
                </c:pt>
                <c:pt idx="10">
                  <c:v>14.281175067896784</c:v>
                </c:pt>
                <c:pt idx="11">
                  <c:v>14.281175067896784</c:v>
                </c:pt>
                <c:pt idx="12">
                  <c:v>14.281175067896784</c:v>
                </c:pt>
                <c:pt idx="13">
                  <c:v>14.281175067896784</c:v>
                </c:pt>
                <c:pt idx="14">
                  <c:v>14.281175067896784</c:v>
                </c:pt>
                <c:pt idx="15">
                  <c:v>14.281175067896784</c:v>
                </c:pt>
                <c:pt idx="16">
                  <c:v>14.281175067896784</c:v>
                </c:pt>
                <c:pt idx="17">
                  <c:v>12.925178891128205</c:v>
                </c:pt>
                <c:pt idx="18">
                  <c:v>11.683084207180171</c:v>
                </c:pt>
                <c:pt idx="19">
                  <c:v>10.559987989248111</c:v>
                </c:pt>
                <c:pt idx="20">
                  <c:v>9.5395710519897072</c:v>
                </c:pt>
                <c:pt idx="21">
                  <c:v>8.6083677370566178</c:v>
                </c:pt>
                <c:pt idx="22">
                  <c:v>7.7551683360922929</c:v>
                </c:pt>
                <c:pt idx="23">
                  <c:v>6.9705656482126965</c:v>
                </c:pt>
                <c:pt idx="24">
                  <c:v>6.2466066802870515</c:v>
                </c:pt>
                <c:pt idx="25">
                  <c:v>5.5765221048122182</c:v>
                </c:pt>
                <c:pt idx="26">
                  <c:v>4.9545139493776755</c:v>
                </c:pt>
                <c:pt idx="27">
                  <c:v>4.3755874013677225</c:v>
                </c:pt>
                <c:pt idx="28">
                  <c:v>3.835416391556612</c:v>
                </c:pt>
                <c:pt idx="29">
                  <c:v>3.3302352984249954</c:v>
                </c:pt>
                <c:pt idx="30">
                  <c:v>2.8567510370282307</c:v>
                </c:pt>
                <c:pt idx="31">
                  <c:v>2.412071192086549</c:v>
                </c:pt>
                <c:pt idx="32">
                  <c:v>1.9936448799652058</c:v>
                </c:pt>
                <c:pt idx="33">
                  <c:v>1.5992137847013312</c:v>
                </c:pt>
                <c:pt idx="34">
                  <c:v>1.2267713829424327</c:v>
                </c:pt>
                <c:pt idx="35">
                  <c:v>0.87452880332544103</c:v>
                </c:pt>
                <c:pt idx="36">
                  <c:v>0.54088609415528444</c:v>
                </c:pt>
                <c:pt idx="37">
                  <c:v>0.22440792556159872</c:v>
                </c:pt>
                <c:pt idx="38">
                  <c:v>-7.6197052317048097E-2</c:v>
                </c:pt>
                <c:pt idx="39">
                  <c:v>-0.36209382121765121</c:v>
                </c:pt>
                <c:pt idx="40">
                  <c:v>-0.63433608319217649</c:v>
                </c:pt>
                <c:pt idx="41">
                  <c:v>-0.89387923758514209</c:v>
                </c:pt>
                <c:pt idx="42">
                  <c:v>-1.1415915834145522</c:v>
                </c:pt>
                <c:pt idx="43">
                  <c:v>-1.3782640239684709</c:v>
                </c:pt>
                <c:pt idx="44">
                  <c:v>-1.6046185021579888</c:v>
                </c:pt>
                <c:pt idx="45">
                  <c:v>-1.8213153561636615</c:v>
                </c:pt>
                <c:pt idx="46">
                  <c:v>-2.0289597532410633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'Gantry UI'!$W$2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UI'!$W$3:$W$102</c:f>
              <c:numCache>
                <c:formatCode>0.0</c:formatCode>
                <c:ptCount val="100"/>
                <c:pt idx="0">
                  <c:v>18.192446810219536</c:v>
                </c:pt>
                <c:pt idx="1">
                  <c:v>18.192446810219536</c:v>
                </c:pt>
                <c:pt idx="2">
                  <c:v>18.192446810219536</c:v>
                </c:pt>
                <c:pt idx="3">
                  <c:v>18.192446810219536</c:v>
                </c:pt>
                <c:pt idx="4">
                  <c:v>18.192446810219536</c:v>
                </c:pt>
                <c:pt idx="5">
                  <c:v>18.192446810219536</c:v>
                </c:pt>
                <c:pt idx="6">
                  <c:v>18.192446810219536</c:v>
                </c:pt>
                <c:pt idx="7">
                  <c:v>18.192446810219536</c:v>
                </c:pt>
                <c:pt idx="8">
                  <c:v>18.192446810219536</c:v>
                </c:pt>
                <c:pt idx="9">
                  <c:v>18.192446810219536</c:v>
                </c:pt>
                <c:pt idx="10">
                  <c:v>18.192446810219536</c:v>
                </c:pt>
                <c:pt idx="11">
                  <c:v>18.192446810219536</c:v>
                </c:pt>
                <c:pt idx="12">
                  <c:v>18.192446810219536</c:v>
                </c:pt>
                <c:pt idx="13">
                  <c:v>18.192446810219536</c:v>
                </c:pt>
                <c:pt idx="14">
                  <c:v>18.192446810219536</c:v>
                </c:pt>
                <c:pt idx="15">
                  <c:v>18.192446810219536</c:v>
                </c:pt>
                <c:pt idx="16">
                  <c:v>18.192446810219536</c:v>
                </c:pt>
                <c:pt idx="17">
                  <c:v>18.192446810219536</c:v>
                </c:pt>
                <c:pt idx="18">
                  <c:v>18.192446810219536</c:v>
                </c:pt>
                <c:pt idx="19">
                  <c:v>18.192446810219536</c:v>
                </c:pt>
                <c:pt idx="20">
                  <c:v>17.941518678343137</c:v>
                </c:pt>
                <c:pt idx="21">
                  <c:v>15.907161481714526</c:v>
                </c:pt>
                <c:pt idx="22">
                  <c:v>14.033018871088411</c:v>
                </c:pt>
                <c:pt idx="23">
                  <c:v>12.300881474521804</c:v>
                </c:pt>
                <c:pt idx="24">
                  <c:v>10.695198668361737</c:v>
                </c:pt>
                <c:pt idx="25">
                  <c:v>9.2026104120201992</c:v>
                </c:pt>
                <c:pt idx="26">
                  <c:v>7.811574641605743</c:v>
                </c:pt>
                <c:pt idx="27">
                  <c:v>6.5120682154017402</c:v>
                </c:pt>
                <c:pt idx="28">
                  <c:v>5.2953450118832297</c:v>
                </c:pt>
                <c:pt idx="29">
                  <c:v>4.1537388307505214</c:v>
                </c:pt>
                <c:pt idx="30">
                  <c:v>3.080501705833901</c:v>
                </c:pt>
                <c:pt idx="31">
                  <c:v>2.0696704230028984</c:v>
                </c:pt>
                <c:pt idx="32">
                  <c:v>1.1159556650953948</c:v>
                </c:pt>
                <c:pt idx="33">
                  <c:v>0.21464943196730646</c:v>
                </c:pt>
                <c:pt idx="34">
                  <c:v>-0.63845268523454557</c:v>
                </c:pt>
                <c:pt idx="35">
                  <c:v>-1.447117083701432</c:v>
                </c:pt>
                <c:pt idx="36">
                  <c:v>-2.2147277406815178</c:v>
                </c:pt>
                <c:pt idx="37">
                  <c:v>-2.6703537555513237</c:v>
                </c:pt>
                <c:pt idx="38">
                  <c:v>-2.6703537555513237</c:v>
                </c:pt>
                <c:pt idx="39">
                  <c:v>-2.6703537555513237</c:v>
                </c:pt>
                <c:pt idx="40">
                  <c:v>-2.6703537555513237</c:v>
                </c:pt>
                <c:pt idx="41">
                  <c:v>-2.6703537555513237</c:v>
                </c:pt>
                <c:pt idx="42">
                  <c:v>-2.6703537555513237</c:v>
                </c:pt>
                <c:pt idx="43">
                  <c:v>-2.6703537555513237</c:v>
                </c:pt>
                <c:pt idx="44">
                  <c:v>-2.6703537555513237</c:v>
                </c:pt>
                <c:pt idx="45">
                  <c:v>-2.6703537555513237</c:v>
                </c:pt>
                <c:pt idx="46">
                  <c:v>-2.6703537555513237</c:v>
                </c:pt>
                <c:pt idx="47">
                  <c:v>-2.6703537555513237</c:v>
                </c:pt>
                <c:pt idx="48">
                  <c:v>-2.6703537555513237</c:v>
                </c:pt>
                <c:pt idx="49">
                  <c:v>-2.6703537555513237</c:v>
                </c:pt>
                <c:pt idx="50">
                  <c:v>-2.6703537555513237</c:v>
                </c:pt>
                <c:pt idx="51">
                  <c:v>-2.6703537555513237</c:v>
                </c:pt>
                <c:pt idx="52">
                  <c:v>-2.6703537555513237</c:v>
                </c:pt>
                <c:pt idx="53">
                  <c:v>-2.6703537555513237</c:v>
                </c:pt>
                <c:pt idx="54">
                  <c:v>-2.6703537555513237</c:v>
                </c:pt>
                <c:pt idx="55">
                  <c:v>-2.6703537555513237</c:v>
                </c:pt>
                <c:pt idx="56">
                  <c:v>-2.6703537555513237</c:v>
                </c:pt>
                <c:pt idx="57">
                  <c:v>-2.6703537555513237</c:v>
                </c:pt>
                <c:pt idx="58">
                  <c:v>-2.6703537555513237</c:v>
                </c:pt>
                <c:pt idx="59">
                  <c:v>-2.6703537555513237</c:v>
                </c:pt>
                <c:pt idx="60">
                  <c:v>-2.6703537555513237</c:v>
                </c:pt>
                <c:pt idx="61">
                  <c:v>-2.6703537555513237</c:v>
                </c:pt>
                <c:pt idx="62">
                  <c:v>-2.6703537555513237</c:v>
                </c:pt>
                <c:pt idx="63">
                  <c:v>-2.6703537555513237</c:v>
                </c:pt>
                <c:pt idx="64">
                  <c:v>-2.6703537555513237</c:v>
                </c:pt>
                <c:pt idx="65">
                  <c:v>-2.6703537555513237</c:v>
                </c:pt>
                <c:pt idx="66">
                  <c:v>-2.6703537555513237</c:v>
                </c:pt>
                <c:pt idx="67">
                  <c:v>-2.6703537555513237</c:v>
                </c:pt>
                <c:pt idx="68">
                  <c:v>-2.6703537555513237</c:v>
                </c:pt>
                <c:pt idx="69">
                  <c:v>-2.6703537555513237</c:v>
                </c:pt>
                <c:pt idx="70">
                  <c:v>-2.6703537555513237</c:v>
                </c:pt>
                <c:pt idx="71">
                  <c:v>-2.6703537555513237</c:v>
                </c:pt>
                <c:pt idx="72">
                  <c:v>-2.6703537555513237</c:v>
                </c:pt>
                <c:pt idx="73">
                  <c:v>-2.6703537555513237</c:v>
                </c:pt>
                <c:pt idx="74">
                  <c:v>-2.6703537555513237</c:v>
                </c:pt>
                <c:pt idx="75">
                  <c:v>-2.6703537555513237</c:v>
                </c:pt>
                <c:pt idx="76">
                  <c:v>-2.6703537555513237</c:v>
                </c:pt>
                <c:pt idx="77">
                  <c:v>-2.6703537555513237</c:v>
                </c:pt>
                <c:pt idx="78">
                  <c:v>-2.6703537555513237</c:v>
                </c:pt>
                <c:pt idx="79">
                  <c:v>-2.6703537555513237</c:v>
                </c:pt>
                <c:pt idx="80">
                  <c:v>-2.6703537555513237</c:v>
                </c:pt>
                <c:pt idx="81">
                  <c:v>-2.6703537555513237</c:v>
                </c:pt>
                <c:pt idx="82">
                  <c:v>-2.6703537555513237</c:v>
                </c:pt>
                <c:pt idx="83">
                  <c:v>-2.6703537555513237</c:v>
                </c:pt>
                <c:pt idx="84">
                  <c:v>-2.6703537555513237</c:v>
                </c:pt>
                <c:pt idx="85">
                  <c:v>-2.6703537555513237</c:v>
                </c:pt>
                <c:pt idx="86">
                  <c:v>-2.6703537555513237</c:v>
                </c:pt>
                <c:pt idx="87">
                  <c:v>-2.6703537555513237</c:v>
                </c:pt>
                <c:pt idx="88">
                  <c:v>-2.6703537555513237</c:v>
                </c:pt>
                <c:pt idx="89">
                  <c:v>-2.6703537555513237</c:v>
                </c:pt>
                <c:pt idx="90">
                  <c:v>-2.6703537555513237</c:v>
                </c:pt>
                <c:pt idx="91">
                  <c:v>-2.6703537555513237</c:v>
                </c:pt>
                <c:pt idx="92">
                  <c:v>-2.6703537555513237</c:v>
                </c:pt>
                <c:pt idx="93">
                  <c:v>-2.6703537555513237</c:v>
                </c:pt>
                <c:pt idx="94">
                  <c:v>-2.6703537555513237</c:v>
                </c:pt>
                <c:pt idx="95">
                  <c:v>-2.6703537555513237</c:v>
                </c:pt>
                <c:pt idx="96">
                  <c:v>-2.6703537555513237</c:v>
                </c:pt>
                <c:pt idx="97">
                  <c:v>-2.6703537555513237</c:v>
                </c:pt>
                <c:pt idx="98">
                  <c:v>-2.6703537555513237</c:v>
                </c:pt>
                <c:pt idx="99">
                  <c:v>-2.6703537555513237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'Gantry UI'!$X$2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'Gantry UI'!$Y$2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'Gantry UI'!$Z$2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'Gantry UI'!$AA$2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'Gantry UI'!$AB$2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'Gantry UI'!$AC$2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'Gantry UI'!$AD$2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'Gantry UI'!$AE$2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'Gantry UI'!$AF$2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'Gantry UI'!$AG$2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'Gantry UI'!$AH$2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UI'!$AH$3:$AH$102</c:f>
              <c:numCache>
                <c:formatCode>0.0</c:formatCode>
                <c:ptCount val="100"/>
                <c:pt idx="0">
                  <c:v>12.732395447351628</c:v>
                </c:pt>
                <c:pt idx="1">
                  <c:v>12.732395447351628</c:v>
                </c:pt>
                <c:pt idx="2">
                  <c:v>12.732395447351628</c:v>
                </c:pt>
                <c:pt idx="3">
                  <c:v>12.732395447351628</c:v>
                </c:pt>
                <c:pt idx="4">
                  <c:v>12.732395447351628</c:v>
                </c:pt>
                <c:pt idx="5">
                  <c:v>12.732395447351628</c:v>
                </c:pt>
                <c:pt idx="6">
                  <c:v>12.732395447351628</c:v>
                </c:pt>
                <c:pt idx="7">
                  <c:v>12.732395447351628</c:v>
                </c:pt>
                <c:pt idx="8">
                  <c:v>12.732395447351628</c:v>
                </c:pt>
                <c:pt idx="9">
                  <c:v>12.732395447351628</c:v>
                </c:pt>
                <c:pt idx="10">
                  <c:v>12.732395447351628</c:v>
                </c:pt>
                <c:pt idx="11">
                  <c:v>12.732395447351628</c:v>
                </c:pt>
                <c:pt idx="12">
                  <c:v>12.732395447351628</c:v>
                </c:pt>
                <c:pt idx="13">
                  <c:v>12.732395447351628</c:v>
                </c:pt>
                <c:pt idx="14">
                  <c:v>12.732395447351628</c:v>
                </c:pt>
                <c:pt idx="15">
                  <c:v>12.732395447351628</c:v>
                </c:pt>
                <c:pt idx="16">
                  <c:v>12.732395447351628</c:v>
                </c:pt>
                <c:pt idx="17">
                  <c:v>12.732395447351628</c:v>
                </c:pt>
                <c:pt idx="18">
                  <c:v>12.732395447351628</c:v>
                </c:pt>
                <c:pt idx="19">
                  <c:v>12.732395447351628</c:v>
                </c:pt>
                <c:pt idx="20">
                  <c:v>12.732395447351628</c:v>
                </c:pt>
                <c:pt idx="21">
                  <c:v>12.732395447351628</c:v>
                </c:pt>
                <c:pt idx="22">
                  <c:v>12.732395447351628</c:v>
                </c:pt>
                <c:pt idx="23">
                  <c:v>12.732395447351628</c:v>
                </c:pt>
                <c:pt idx="24">
                  <c:v>12.732395447351628</c:v>
                </c:pt>
                <c:pt idx="25">
                  <c:v>12.732395447351628</c:v>
                </c:pt>
                <c:pt idx="26">
                  <c:v>12.732395447351628</c:v>
                </c:pt>
                <c:pt idx="27">
                  <c:v>12.732395447351628</c:v>
                </c:pt>
                <c:pt idx="28">
                  <c:v>12.732395447351628</c:v>
                </c:pt>
                <c:pt idx="29">
                  <c:v>12.732395447351628</c:v>
                </c:pt>
                <c:pt idx="30">
                  <c:v>12.732395447351628</c:v>
                </c:pt>
                <c:pt idx="31">
                  <c:v>12.732395447351628</c:v>
                </c:pt>
                <c:pt idx="32">
                  <c:v>12.732395447351628</c:v>
                </c:pt>
                <c:pt idx="33">
                  <c:v>12.732395447351628</c:v>
                </c:pt>
                <c:pt idx="34">
                  <c:v>12.732395447351628</c:v>
                </c:pt>
                <c:pt idx="35">
                  <c:v>12.732395447351628</c:v>
                </c:pt>
                <c:pt idx="36">
                  <c:v>12.732395447351628</c:v>
                </c:pt>
                <c:pt idx="37">
                  <c:v>12.732395447351628</c:v>
                </c:pt>
                <c:pt idx="38">
                  <c:v>12.732395447351628</c:v>
                </c:pt>
                <c:pt idx="39">
                  <c:v>12.732395447351628</c:v>
                </c:pt>
                <c:pt idx="40">
                  <c:v>12.732395447351628</c:v>
                </c:pt>
                <c:pt idx="41">
                  <c:v>12.732395447351628</c:v>
                </c:pt>
                <c:pt idx="42">
                  <c:v>12.732395447351628</c:v>
                </c:pt>
                <c:pt idx="43">
                  <c:v>12.732395447351628</c:v>
                </c:pt>
                <c:pt idx="44">
                  <c:v>12.732395447351628</c:v>
                </c:pt>
                <c:pt idx="45">
                  <c:v>12.732395447351628</c:v>
                </c:pt>
                <c:pt idx="46">
                  <c:v>12.732395447351628</c:v>
                </c:pt>
                <c:pt idx="47">
                  <c:v>12.732395447351628</c:v>
                </c:pt>
                <c:pt idx="48">
                  <c:v>12.732395447351628</c:v>
                </c:pt>
                <c:pt idx="49">
                  <c:v>12.732395447351628</c:v>
                </c:pt>
                <c:pt idx="50">
                  <c:v>12.732395447351628</c:v>
                </c:pt>
                <c:pt idx="51">
                  <c:v>12.732395447351628</c:v>
                </c:pt>
                <c:pt idx="52">
                  <c:v>12.732395447351628</c:v>
                </c:pt>
                <c:pt idx="53">
                  <c:v>12.732395447351628</c:v>
                </c:pt>
                <c:pt idx="54">
                  <c:v>12.732395447351628</c:v>
                </c:pt>
                <c:pt idx="55">
                  <c:v>12.732395447351628</c:v>
                </c:pt>
                <c:pt idx="56">
                  <c:v>12.732395447351628</c:v>
                </c:pt>
                <c:pt idx="57">
                  <c:v>12.732395447351628</c:v>
                </c:pt>
                <c:pt idx="58">
                  <c:v>12.732395447351628</c:v>
                </c:pt>
                <c:pt idx="59">
                  <c:v>12.732395447351628</c:v>
                </c:pt>
                <c:pt idx="60">
                  <c:v>12.732395447351628</c:v>
                </c:pt>
                <c:pt idx="61">
                  <c:v>12.732395447351628</c:v>
                </c:pt>
                <c:pt idx="62">
                  <c:v>12.732395447351628</c:v>
                </c:pt>
                <c:pt idx="63">
                  <c:v>12.732395447351628</c:v>
                </c:pt>
                <c:pt idx="64">
                  <c:v>12.732395447351628</c:v>
                </c:pt>
                <c:pt idx="65">
                  <c:v>12.732395447351628</c:v>
                </c:pt>
                <c:pt idx="66">
                  <c:v>12.732395447351628</c:v>
                </c:pt>
                <c:pt idx="67">
                  <c:v>12.732395447351628</c:v>
                </c:pt>
                <c:pt idx="68">
                  <c:v>12.732395447351628</c:v>
                </c:pt>
                <c:pt idx="69">
                  <c:v>12.732395447351628</c:v>
                </c:pt>
                <c:pt idx="70">
                  <c:v>12.732395447351628</c:v>
                </c:pt>
                <c:pt idx="71">
                  <c:v>12.732395447351628</c:v>
                </c:pt>
                <c:pt idx="72">
                  <c:v>12.732395447351628</c:v>
                </c:pt>
                <c:pt idx="73">
                  <c:v>12.732395447351628</c:v>
                </c:pt>
                <c:pt idx="74">
                  <c:v>12.732395447351628</c:v>
                </c:pt>
                <c:pt idx="75">
                  <c:v>12.732395447351628</c:v>
                </c:pt>
                <c:pt idx="76">
                  <c:v>12.732395447351628</c:v>
                </c:pt>
                <c:pt idx="77">
                  <c:v>12.732395447351628</c:v>
                </c:pt>
                <c:pt idx="78">
                  <c:v>12.732395447351628</c:v>
                </c:pt>
                <c:pt idx="79">
                  <c:v>12.732395447351628</c:v>
                </c:pt>
                <c:pt idx="80">
                  <c:v>12.732395447351628</c:v>
                </c:pt>
                <c:pt idx="81">
                  <c:v>12.732395447351628</c:v>
                </c:pt>
                <c:pt idx="82">
                  <c:v>12.732395447351628</c:v>
                </c:pt>
                <c:pt idx="83">
                  <c:v>12.732395447351628</c:v>
                </c:pt>
                <c:pt idx="84">
                  <c:v>12.732395447351628</c:v>
                </c:pt>
                <c:pt idx="85">
                  <c:v>12.732395447351628</c:v>
                </c:pt>
                <c:pt idx="86">
                  <c:v>12.732395447351628</c:v>
                </c:pt>
                <c:pt idx="87">
                  <c:v>12.732395447351628</c:v>
                </c:pt>
                <c:pt idx="88">
                  <c:v>12.732395447351628</c:v>
                </c:pt>
                <c:pt idx="89">
                  <c:v>12.732395447351628</c:v>
                </c:pt>
                <c:pt idx="90">
                  <c:v>12.732395447351628</c:v>
                </c:pt>
                <c:pt idx="91">
                  <c:v>12.732395447351628</c:v>
                </c:pt>
                <c:pt idx="92">
                  <c:v>12.732395447351628</c:v>
                </c:pt>
                <c:pt idx="93">
                  <c:v>12.732395447351628</c:v>
                </c:pt>
                <c:pt idx="94">
                  <c:v>12.732395447351628</c:v>
                </c:pt>
                <c:pt idx="95">
                  <c:v>12.732395447351628</c:v>
                </c:pt>
                <c:pt idx="96">
                  <c:v>12.732395447351628</c:v>
                </c:pt>
                <c:pt idx="97">
                  <c:v>12.732395447351628</c:v>
                </c:pt>
                <c:pt idx="98">
                  <c:v>12.732395447351628</c:v>
                </c:pt>
                <c:pt idx="99">
                  <c:v>12.732395447351628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'Gantry UI'!$R$1</c:f>
          <c:strCache>
            <c:ptCount val="1"/>
            <c:pt idx="0">
              <c:v>Stepper Torque, 24V, 20T, 20k, 1000g,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'Gantry UI'!$AH$2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UI'!$AH$3:$AH$102</c:f>
              <c:numCache>
                <c:formatCode>0.0</c:formatCode>
                <c:ptCount val="100"/>
                <c:pt idx="0">
                  <c:v>12.732395447351628</c:v>
                </c:pt>
                <c:pt idx="1">
                  <c:v>12.732395447351628</c:v>
                </c:pt>
                <c:pt idx="2">
                  <c:v>12.732395447351628</c:v>
                </c:pt>
                <c:pt idx="3">
                  <c:v>12.732395447351628</c:v>
                </c:pt>
                <c:pt idx="4">
                  <c:v>12.732395447351628</c:v>
                </c:pt>
                <c:pt idx="5">
                  <c:v>12.732395447351628</c:v>
                </c:pt>
                <c:pt idx="6">
                  <c:v>12.732395447351628</c:v>
                </c:pt>
                <c:pt idx="7">
                  <c:v>12.732395447351628</c:v>
                </c:pt>
                <c:pt idx="8">
                  <c:v>12.732395447351628</c:v>
                </c:pt>
                <c:pt idx="9">
                  <c:v>12.732395447351628</c:v>
                </c:pt>
                <c:pt idx="10">
                  <c:v>12.732395447351628</c:v>
                </c:pt>
                <c:pt idx="11">
                  <c:v>12.732395447351628</c:v>
                </c:pt>
                <c:pt idx="12">
                  <c:v>12.732395447351628</c:v>
                </c:pt>
                <c:pt idx="13">
                  <c:v>12.732395447351628</c:v>
                </c:pt>
                <c:pt idx="14">
                  <c:v>12.732395447351628</c:v>
                </c:pt>
                <c:pt idx="15">
                  <c:v>12.732395447351628</c:v>
                </c:pt>
                <c:pt idx="16">
                  <c:v>12.732395447351628</c:v>
                </c:pt>
                <c:pt idx="17">
                  <c:v>12.732395447351628</c:v>
                </c:pt>
                <c:pt idx="18">
                  <c:v>12.732395447351628</c:v>
                </c:pt>
                <c:pt idx="19">
                  <c:v>12.732395447351628</c:v>
                </c:pt>
                <c:pt idx="20">
                  <c:v>12.732395447351628</c:v>
                </c:pt>
                <c:pt idx="21">
                  <c:v>12.732395447351628</c:v>
                </c:pt>
                <c:pt idx="22">
                  <c:v>12.732395447351628</c:v>
                </c:pt>
                <c:pt idx="23">
                  <c:v>12.732395447351628</c:v>
                </c:pt>
                <c:pt idx="24">
                  <c:v>12.732395447351628</c:v>
                </c:pt>
                <c:pt idx="25">
                  <c:v>12.732395447351628</c:v>
                </c:pt>
                <c:pt idx="26">
                  <c:v>12.732395447351628</c:v>
                </c:pt>
                <c:pt idx="27">
                  <c:v>12.732395447351628</c:v>
                </c:pt>
                <c:pt idx="28">
                  <c:v>12.732395447351628</c:v>
                </c:pt>
                <c:pt idx="29">
                  <c:v>12.732395447351628</c:v>
                </c:pt>
                <c:pt idx="30">
                  <c:v>12.732395447351628</c:v>
                </c:pt>
                <c:pt idx="31">
                  <c:v>12.732395447351628</c:v>
                </c:pt>
                <c:pt idx="32">
                  <c:v>12.732395447351628</c:v>
                </c:pt>
                <c:pt idx="33">
                  <c:v>12.732395447351628</c:v>
                </c:pt>
                <c:pt idx="34">
                  <c:v>12.732395447351628</c:v>
                </c:pt>
                <c:pt idx="35">
                  <c:v>12.732395447351628</c:v>
                </c:pt>
                <c:pt idx="36">
                  <c:v>12.732395447351628</c:v>
                </c:pt>
                <c:pt idx="37">
                  <c:v>12.732395447351628</c:v>
                </c:pt>
                <c:pt idx="38">
                  <c:v>12.732395447351628</c:v>
                </c:pt>
                <c:pt idx="39">
                  <c:v>12.732395447351628</c:v>
                </c:pt>
                <c:pt idx="40">
                  <c:v>12.732395447351628</c:v>
                </c:pt>
                <c:pt idx="41">
                  <c:v>12.732395447351628</c:v>
                </c:pt>
                <c:pt idx="42">
                  <c:v>12.732395447351628</c:v>
                </c:pt>
                <c:pt idx="43">
                  <c:v>12.732395447351628</c:v>
                </c:pt>
                <c:pt idx="44">
                  <c:v>12.732395447351628</c:v>
                </c:pt>
                <c:pt idx="45">
                  <c:v>12.732395447351628</c:v>
                </c:pt>
                <c:pt idx="46">
                  <c:v>12.732395447351628</c:v>
                </c:pt>
                <c:pt idx="47">
                  <c:v>12.732395447351628</c:v>
                </c:pt>
                <c:pt idx="48">
                  <c:v>12.732395447351628</c:v>
                </c:pt>
                <c:pt idx="49">
                  <c:v>12.732395447351628</c:v>
                </c:pt>
                <c:pt idx="50">
                  <c:v>12.732395447351628</c:v>
                </c:pt>
                <c:pt idx="51">
                  <c:v>12.732395447351628</c:v>
                </c:pt>
                <c:pt idx="52">
                  <c:v>12.732395447351628</c:v>
                </c:pt>
                <c:pt idx="53">
                  <c:v>12.732395447351628</c:v>
                </c:pt>
                <c:pt idx="54">
                  <c:v>12.732395447351628</c:v>
                </c:pt>
                <c:pt idx="55">
                  <c:v>12.732395447351628</c:v>
                </c:pt>
                <c:pt idx="56">
                  <c:v>12.732395447351628</c:v>
                </c:pt>
                <c:pt idx="57">
                  <c:v>12.732395447351628</c:v>
                </c:pt>
                <c:pt idx="58">
                  <c:v>12.732395447351628</c:v>
                </c:pt>
                <c:pt idx="59">
                  <c:v>12.732395447351628</c:v>
                </c:pt>
                <c:pt idx="60">
                  <c:v>12.732395447351628</c:v>
                </c:pt>
                <c:pt idx="61">
                  <c:v>12.732395447351628</c:v>
                </c:pt>
                <c:pt idx="62">
                  <c:v>12.732395447351628</c:v>
                </c:pt>
                <c:pt idx="63">
                  <c:v>12.732395447351628</c:v>
                </c:pt>
                <c:pt idx="64">
                  <c:v>12.732395447351628</c:v>
                </c:pt>
                <c:pt idx="65">
                  <c:v>12.732395447351628</c:v>
                </c:pt>
                <c:pt idx="66">
                  <c:v>12.732395447351628</c:v>
                </c:pt>
                <c:pt idx="67">
                  <c:v>12.732395447351628</c:v>
                </c:pt>
                <c:pt idx="68">
                  <c:v>12.732395447351628</c:v>
                </c:pt>
                <c:pt idx="69">
                  <c:v>12.732395447351628</c:v>
                </c:pt>
                <c:pt idx="70">
                  <c:v>12.732395447351628</c:v>
                </c:pt>
                <c:pt idx="71">
                  <c:v>12.732395447351628</c:v>
                </c:pt>
                <c:pt idx="72">
                  <c:v>12.732395447351628</c:v>
                </c:pt>
                <c:pt idx="73">
                  <c:v>12.732395447351628</c:v>
                </c:pt>
                <c:pt idx="74">
                  <c:v>12.732395447351628</c:v>
                </c:pt>
                <c:pt idx="75">
                  <c:v>12.732395447351628</c:v>
                </c:pt>
                <c:pt idx="76">
                  <c:v>12.732395447351628</c:v>
                </c:pt>
                <c:pt idx="77">
                  <c:v>12.732395447351628</c:v>
                </c:pt>
                <c:pt idx="78">
                  <c:v>12.732395447351628</c:v>
                </c:pt>
                <c:pt idx="79">
                  <c:v>12.732395447351628</c:v>
                </c:pt>
                <c:pt idx="80">
                  <c:v>12.732395447351628</c:v>
                </c:pt>
                <c:pt idx="81">
                  <c:v>12.732395447351628</c:v>
                </c:pt>
                <c:pt idx="82">
                  <c:v>12.732395447351628</c:v>
                </c:pt>
                <c:pt idx="83">
                  <c:v>12.732395447351628</c:v>
                </c:pt>
                <c:pt idx="84">
                  <c:v>12.732395447351628</c:v>
                </c:pt>
                <c:pt idx="85">
                  <c:v>12.732395447351628</c:v>
                </c:pt>
                <c:pt idx="86">
                  <c:v>12.732395447351628</c:v>
                </c:pt>
                <c:pt idx="87">
                  <c:v>12.732395447351628</c:v>
                </c:pt>
                <c:pt idx="88">
                  <c:v>12.732395447351628</c:v>
                </c:pt>
                <c:pt idx="89">
                  <c:v>12.732395447351628</c:v>
                </c:pt>
                <c:pt idx="90">
                  <c:v>12.732395447351628</c:v>
                </c:pt>
                <c:pt idx="91">
                  <c:v>12.732395447351628</c:v>
                </c:pt>
                <c:pt idx="92">
                  <c:v>12.732395447351628</c:v>
                </c:pt>
                <c:pt idx="93">
                  <c:v>12.732395447351628</c:v>
                </c:pt>
                <c:pt idx="94">
                  <c:v>12.732395447351628</c:v>
                </c:pt>
                <c:pt idx="95">
                  <c:v>12.732395447351628</c:v>
                </c:pt>
                <c:pt idx="96">
                  <c:v>12.732395447351628</c:v>
                </c:pt>
                <c:pt idx="97">
                  <c:v>12.732395447351628</c:v>
                </c:pt>
                <c:pt idx="98">
                  <c:v>12.732395447351628</c:v>
                </c:pt>
                <c:pt idx="99">
                  <c:v>12.732395447351628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'Gantry UI'!$R$2</c:f>
              <c:strCache>
                <c:ptCount val="1"/>
                <c:pt idx="0">
                  <c:v>Leadshine 42CM06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UI'!$R$3:$R$102</c:f>
              <c:numCache>
                <c:formatCode>0.0</c:formatCode>
                <c:ptCount val="100"/>
                <c:pt idx="0">
                  <c:v>14.711179173432322</c:v>
                </c:pt>
                <c:pt idx="1">
                  <c:v>14.711179173432322</c:v>
                </c:pt>
                <c:pt idx="2">
                  <c:v>14.711179173432322</c:v>
                </c:pt>
                <c:pt idx="3">
                  <c:v>14.711179173432322</c:v>
                </c:pt>
                <c:pt idx="4">
                  <c:v>14.711179173432322</c:v>
                </c:pt>
                <c:pt idx="5">
                  <c:v>14.711179173432322</c:v>
                </c:pt>
                <c:pt idx="6">
                  <c:v>14.711179173432322</c:v>
                </c:pt>
                <c:pt idx="7">
                  <c:v>14.711179173432322</c:v>
                </c:pt>
                <c:pt idx="8">
                  <c:v>14.711179173432322</c:v>
                </c:pt>
                <c:pt idx="9">
                  <c:v>14.711179173432322</c:v>
                </c:pt>
                <c:pt idx="10">
                  <c:v>14.711179173432322</c:v>
                </c:pt>
                <c:pt idx="11">
                  <c:v>14.711179173432322</c:v>
                </c:pt>
                <c:pt idx="12">
                  <c:v>14.711179173432322</c:v>
                </c:pt>
                <c:pt idx="13">
                  <c:v>14.711179173432322</c:v>
                </c:pt>
                <c:pt idx="14">
                  <c:v>14.711179173432322</c:v>
                </c:pt>
                <c:pt idx="15">
                  <c:v>14.711179173432322</c:v>
                </c:pt>
                <c:pt idx="16">
                  <c:v>14.711179173432322</c:v>
                </c:pt>
                <c:pt idx="17">
                  <c:v>14.711179173432322</c:v>
                </c:pt>
                <c:pt idx="18">
                  <c:v>14.711179173432322</c:v>
                </c:pt>
                <c:pt idx="19">
                  <c:v>14.711179173432322</c:v>
                </c:pt>
                <c:pt idx="20">
                  <c:v>14.711179173432322</c:v>
                </c:pt>
                <c:pt idx="21">
                  <c:v>14.711179173432322</c:v>
                </c:pt>
                <c:pt idx="22">
                  <c:v>14.711179173432322</c:v>
                </c:pt>
                <c:pt idx="23">
                  <c:v>14.711179173432322</c:v>
                </c:pt>
                <c:pt idx="24">
                  <c:v>14.711179173432322</c:v>
                </c:pt>
                <c:pt idx="25">
                  <c:v>14.711179173432322</c:v>
                </c:pt>
                <c:pt idx="26">
                  <c:v>14.711179173432322</c:v>
                </c:pt>
                <c:pt idx="27">
                  <c:v>14.711179173432322</c:v>
                </c:pt>
                <c:pt idx="28">
                  <c:v>14.711179173432322</c:v>
                </c:pt>
                <c:pt idx="29">
                  <c:v>14.711179173432322</c:v>
                </c:pt>
                <c:pt idx="30">
                  <c:v>13.834482731880469</c:v>
                </c:pt>
                <c:pt idx="31">
                  <c:v>12.327667823454242</c:v>
                </c:pt>
                <c:pt idx="32">
                  <c:v>10.905550423210686</c:v>
                </c:pt>
                <c:pt idx="33">
                  <c:v>9.5611845240242168</c:v>
                </c:pt>
                <c:pt idx="34">
                  <c:v>8.2883634274786626</c:v>
                </c:pt>
                <c:pt idx="35">
                  <c:v>7.0815239315568217</c:v>
                </c:pt>
                <c:pt idx="36">
                  <c:v>5.9356650422816752</c:v>
                </c:pt>
                <c:pt idx="37">
                  <c:v>4.8462787040128461</c:v>
                </c:pt>
                <c:pt idx="38">
                  <c:v>3.8092905251087976</c:v>
                </c:pt>
                <c:pt idx="39">
                  <c:v>2.8210088557944819</c:v>
                </c:pt>
                <c:pt idx="40">
                  <c:v>1.8780808767022221</c:v>
                </c:pt>
                <c:pt idx="41">
                  <c:v>0.9774545972892712</c:v>
                </c:pt>
                <c:pt idx="42">
                  <c:v>0.11634585653778862</c:v>
                </c:pt>
                <c:pt idx="43">
                  <c:v>-0.7077904257835792</c:v>
                </c:pt>
                <c:pt idx="44">
                  <c:v>-1.4972853726275122</c:v>
                </c:pt>
                <c:pt idx="45">
                  <c:v>-2.2542781703009998</c:v>
                </c:pt>
                <c:pt idx="46">
                  <c:v>-2.2619467105846511</c:v>
                </c:pt>
                <c:pt idx="47">
                  <c:v>-2.2619467105846511</c:v>
                </c:pt>
                <c:pt idx="48">
                  <c:v>-2.2619467105846511</c:v>
                </c:pt>
                <c:pt idx="49">
                  <c:v>-2.2619467105846511</c:v>
                </c:pt>
                <c:pt idx="50">
                  <c:v>-2.2619467105846511</c:v>
                </c:pt>
                <c:pt idx="51">
                  <c:v>-2.2619467105846511</c:v>
                </c:pt>
                <c:pt idx="52">
                  <c:v>-2.2619467105846511</c:v>
                </c:pt>
                <c:pt idx="53">
                  <c:v>-2.2619467105846511</c:v>
                </c:pt>
                <c:pt idx="54">
                  <c:v>-2.2619467105846511</c:v>
                </c:pt>
                <c:pt idx="55">
                  <c:v>-2.2619467105846511</c:v>
                </c:pt>
                <c:pt idx="56">
                  <c:v>-2.2619467105846511</c:v>
                </c:pt>
                <c:pt idx="57">
                  <c:v>-2.2619467105846511</c:v>
                </c:pt>
                <c:pt idx="58">
                  <c:v>-2.2619467105846511</c:v>
                </c:pt>
                <c:pt idx="59">
                  <c:v>-2.2619467105846511</c:v>
                </c:pt>
                <c:pt idx="60">
                  <c:v>-2.2619467105846511</c:v>
                </c:pt>
                <c:pt idx="61">
                  <c:v>-2.2619467105846511</c:v>
                </c:pt>
                <c:pt idx="62">
                  <c:v>-2.2619467105846511</c:v>
                </c:pt>
                <c:pt idx="63">
                  <c:v>-2.2619467105846511</c:v>
                </c:pt>
                <c:pt idx="64">
                  <c:v>-2.2619467105846511</c:v>
                </c:pt>
                <c:pt idx="65">
                  <c:v>-2.2619467105846511</c:v>
                </c:pt>
                <c:pt idx="66">
                  <c:v>-2.2619467105846511</c:v>
                </c:pt>
                <c:pt idx="67">
                  <c:v>-2.2619467105846511</c:v>
                </c:pt>
                <c:pt idx="68">
                  <c:v>-2.2619467105846511</c:v>
                </c:pt>
                <c:pt idx="69">
                  <c:v>-2.2619467105846511</c:v>
                </c:pt>
                <c:pt idx="70">
                  <c:v>-2.2619467105846511</c:v>
                </c:pt>
                <c:pt idx="71">
                  <c:v>-2.2619467105846511</c:v>
                </c:pt>
                <c:pt idx="72">
                  <c:v>-2.2619467105846511</c:v>
                </c:pt>
                <c:pt idx="73">
                  <c:v>-2.2619467105846511</c:v>
                </c:pt>
                <c:pt idx="74">
                  <c:v>-2.2619467105846511</c:v>
                </c:pt>
                <c:pt idx="75">
                  <c:v>-2.2619467105846511</c:v>
                </c:pt>
                <c:pt idx="76">
                  <c:v>-2.2619467105846511</c:v>
                </c:pt>
                <c:pt idx="77">
                  <c:v>-2.2619467105846511</c:v>
                </c:pt>
                <c:pt idx="78">
                  <c:v>-2.2619467105846511</c:v>
                </c:pt>
                <c:pt idx="79">
                  <c:v>-2.2619467105846511</c:v>
                </c:pt>
                <c:pt idx="80">
                  <c:v>-2.2619467105846511</c:v>
                </c:pt>
                <c:pt idx="81">
                  <c:v>-2.2619467105846511</c:v>
                </c:pt>
                <c:pt idx="82">
                  <c:v>-2.2619467105846511</c:v>
                </c:pt>
                <c:pt idx="83">
                  <c:v>-2.2619467105846511</c:v>
                </c:pt>
                <c:pt idx="84">
                  <c:v>-2.2619467105846511</c:v>
                </c:pt>
                <c:pt idx="85">
                  <c:v>-2.2619467105846511</c:v>
                </c:pt>
                <c:pt idx="86">
                  <c:v>-2.2619467105846511</c:v>
                </c:pt>
                <c:pt idx="87">
                  <c:v>-2.2619467105846511</c:v>
                </c:pt>
                <c:pt idx="88">
                  <c:v>-2.2619467105846511</c:v>
                </c:pt>
                <c:pt idx="89">
                  <c:v>-2.2619467105846511</c:v>
                </c:pt>
                <c:pt idx="90">
                  <c:v>-2.2619467105846511</c:v>
                </c:pt>
                <c:pt idx="91">
                  <c:v>-2.2619467105846511</c:v>
                </c:pt>
                <c:pt idx="92">
                  <c:v>-2.2619467105846511</c:v>
                </c:pt>
                <c:pt idx="93">
                  <c:v>-2.2619467105846511</c:v>
                </c:pt>
                <c:pt idx="94">
                  <c:v>-2.2619467105846511</c:v>
                </c:pt>
                <c:pt idx="95">
                  <c:v>-2.2619467105846511</c:v>
                </c:pt>
                <c:pt idx="96">
                  <c:v>-2.2619467105846511</c:v>
                </c:pt>
                <c:pt idx="97">
                  <c:v>-2.2619467105846511</c:v>
                </c:pt>
                <c:pt idx="98">
                  <c:v>-2.2619467105846511</c:v>
                </c:pt>
                <c:pt idx="99">
                  <c:v>-2.2619467105846511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'Gantry UI'!$S$2</c:f>
              <c:strCache>
                <c:ptCount val="1"/>
                <c:pt idx="0">
                  <c:v>Yisheng 42CM06-01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UI'!$S$3:$S$102</c:f>
              <c:numCache>
                <c:formatCode>0.0</c:formatCode>
                <c:ptCount val="100"/>
                <c:pt idx="0">
                  <c:v>19.356032623105179</c:v>
                </c:pt>
                <c:pt idx="1">
                  <c:v>19.356032623105179</c:v>
                </c:pt>
                <c:pt idx="2">
                  <c:v>19.356032623105179</c:v>
                </c:pt>
                <c:pt idx="3">
                  <c:v>19.356032623105179</c:v>
                </c:pt>
                <c:pt idx="4">
                  <c:v>19.356032623105179</c:v>
                </c:pt>
                <c:pt idx="5">
                  <c:v>19.356032623105179</c:v>
                </c:pt>
                <c:pt idx="6">
                  <c:v>19.356032623105179</c:v>
                </c:pt>
                <c:pt idx="7">
                  <c:v>19.356032623105179</c:v>
                </c:pt>
                <c:pt idx="8">
                  <c:v>19.356032623105179</c:v>
                </c:pt>
                <c:pt idx="9">
                  <c:v>19.356032623105179</c:v>
                </c:pt>
                <c:pt idx="10">
                  <c:v>19.356032623105179</c:v>
                </c:pt>
                <c:pt idx="11">
                  <c:v>19.356032623105179</c:v>
                </c:pt>
                <c:pt idx="12">
                  <c:v>19.356032623105179</c:v>
                </c:pt>
                <c:pt idx="13">
                  <c:v>19.356032623105179</c:v>
                </c:pt>
                <c:pt idx="14">
                  <c:v>19.356032623105179</c:v>
                </c:pt>
                <c:pt idx="15">
                  <c:v>19.356032623105179</c:v>
                </c:pt>
                <c:pt idx="16">
                  <c:v>19.356032623105179</c:v>
                </c:pt>
                <c:pt idx="17">
                  <c:v>19.109843415355346</c:v>
                </c:pt>
                <c:pt idx="18">
                  <c:v>16.977140256794851</c:v>
                </c:pt>
                <c:pt idx="19">
                  <c:v>15.038107635176701</c:v>
                </c:pt>
                <c:pt idx="20">
                  <c:v>13.267510544619345</c:v>
                </c:pt>
                <c:pt idx="21">
                  <c:v>11.644315606132256</c:v>
                </c:pt>
                <c:pt idx="22">
                  <c:v>10.150851549287072</c:v>
                </c:pt>
                <c:pt idx="23">
                  <c:v>8.772163249973989</c:v>
                </c:pt>
                <c:pt idx="24">
                  <c:v>7.4955091876636359</c:v>
                </c:pt>
                <c:pt idx="25">
                  <c:v>6.3099664980466965</c:v>
                </c:pt>
                <c:pt idx="26">
                  <c:v>5.2061176712585073</c:v>
                </c:pt>
                <c:pt idx="27">
                  <c:v>4.1757998603015594</c:v>
                </c:pt>
                <c:pt idx="28">
                  <c:v>3.2119026728311222</c:v>
                </c:pt>
                <c:pt idx="29">
                  <c:v>2.3082038485277425</c:v>
                </c:pt>
                <c:pt idx="30">
                  <c:v>1.4592347915683126</c:v>
                </c:pt>
                <c:pt idx="31">
                  <c:v>0.66016981589955748</c:v>
                </c:pt>
                <c:pt idx="32">
                  <c:v>-9.3265635992274998E-2</c:v>
                </c:pt>
                <c:pt idx="33">
                  <c:v>-0.80487148764520611</c:v>
                </c:pt>
                <c:pt idx="34">
                  <c:v>-1.4780371267134722</c:v>
                </c:pt>
                <c:pt idx="35">
                  <c:v>-2.1157953887049397</c:v>
                </c:pt>
                <c:pt idx="36">
                  <c:v>-2.2933626371205489</c:v>
                </c:pt>
                <c:pt idx="37">
                  <c:v>-2.2933626371205489</c:v>
                </c:pt>
                <c:pt idx="38">
                  <c:v>-2.2933626371205489</c:v>
                </c:pt>
                <c:pt idx="39">
                  <c:v>-2.2933626371205489</c:v>
                </c:pt>
                <c:pt idx="40">
                  <c:v>-2.2933626371205489</c:v>
                </c:pt>
                <c:pt idx="41">
                  <c:v>-2.2933626371205489</c:v>
                </c:pt>
                <c:pt idx="42">
                  <c:v>-2.2933626371205489</c:v>
                </c:pt>
                <c:pt idx="43">
                  <c:v>-2.2933626371205489</c:v>
                </c:pt>
                <c:pt idx="44">
                  <c:v>-2.2933626371205489</c:v>
                </c:pt>
                <c:pt idx="45">
                  <c:v>-2.2933626371205489</c:v>
                </c:pt>
                <c:pt idx="46">
                  <c:v>-2.2933626371205489</c:v>
                </c:pt>
                <c:pt idx="47">
                  <c:v>-2.2933626371205489</c:v>
                </c:pt>
                <c:pt idx="48">
                  <c:v>-2.2933626371205489</c:v>
                </c:pt>
                <c:pt idx="49">
                  <c:v>-2.2933626371205489</c:v>
                </c:pt>
                <c:pt idx="50">
                  <c:v>-2.2933626371205489</c:v>
                </c:pt>
                <c:pt idx="51">
                  <c:v>-2.2933626371205489</c:v>
                </c:pt>
                <c:pt idx="52">
                  <c:v>-2.2933626371205489</c:v>
                </c:pt>
                <c:pt idx="53">
                  <c:v>-2.2933626371205489</c:v>
                </c:pt>
                <c:pt idx="54">
                  <c:v>-2.2933626371205489</c:v>
                </c:pt>
                <c:pt idx="55">
                  <c:v>-2.2933626371205489</c:v>
                </c:pt>
                <c:pt idx="56">
                  <c:v>-2.2933626371205489</c:v>
                </c:pt>
                <c:pt idx="57">
                  <c:v>-2.2933626371205489</c:v>
                </c:pt>
                <c:pt idx="58">
                  <c:v>-2.2933626371205489</c:v>
                </c:pt>
                <c:pt idx="59">
                  <c:v>-2.2933626371205489</c:v>
                </c:pt>
                <c:pt idx="60">
                  <c:v>-2.2933626371205489</c:v>
                </c:pt>
                <c:pt idx="61">
                  <c:v>-2.2933626371205489</c:v>
                </c:pt>
                <c:pt idx="62">
                  <c:v>-2.2933626371205489</c:v>
                </c:pt>
                <c:pt idx="63">
                  <c:v>-2.2933626371205489</c:v>
                </c:pt>
                <c:pt idx="64">
                  <c:v>-2.2933626371205489</c:v>
                </c:pt>
                <c:pt idx="65">
                  <c:v>-2.2933626371205489</c:v>
                </c:pt>
                <c:pt idx="66">
                  <c:v>-2.2933626371205489</c:v>
                </c:pt>
                <c:pt idx="67">
                  <c:v>-2.2933626371205489</c:v>
                </c:pt>
                <c:pt idx="68">
                  <c:v>-2.2933626371205489</c:v>
                </c:pt>
                <c:pt idx="69">
                  <c:v>-2.2933626371205489</c:v>
                </c:pt>
                <c:pt idx="70">
                  <c:v>-2.2933626371205489</c:v>
                </c:pt>
                <c:pt idx="71">
                  <c:v>-2.2933626371205489</c:v>
                </c:pt>
                <c:pt idx="72">
                  <c:v>-2.2933626371205489</c:v>
                </c:pt>
                <c:pt idx="73">
                  <c:v>-2.2933626371205489</c:v>
                </c:pt>
                <c:pt idx="74">
                  <c:v>-2.2933626371205489</c:v>
                </c:pt>
                <c:pt idx="75">
                  <c:v>-2.2933626371205489</c:v>
                </c:pt>
                <c:pt idx="76">
                  <c:v>-2.2933626371205489</c:v>
                </c:pt>
                <c:pt idx="77">
                  <c:v>-2.2933626371205489</c:v>
                </c:pt>
                <c:pt idx="78">
                  <c:v>-2.2933626371205489</c:v>
                </c:pt>
                <c:pt idx="79">
                  <c:v>-2.2933626371205489</c:v>
                </c:pt>
                <c:pt idx="80">
                  <c:v>-2.2933626371205489</c:v>
                </c:pt>
                <c:pt idx="81">
                  <c:v>-2.2933626371205489</c:v>
                </c:pt>
                <c:pt idx="82">
                  <c:v>-2.2933626371205489</c:v>
                </c:pt>
                <c:pt idx="83">
                  <c:v>-2.2933626371205489</c:v>
                </c:pt>
                <c:pt idx="84">
                  <c:v>-2.2933626371205489</c:v>
                </c:pt>
                <c:pt idx="85">
                  <c:v>-2.2933626371205489</c:v>
                </c:pt>
                <c:pt idx="86">
                  <c:v>-2.2933626371205489</c:v>
                </c:pt>
                <c:pt idx="87">
                  <c:v>-2.2933626371205489</c:v>
                </c:pt>
                <c:pt idx="88">
                  <c:v>-2.2933626371205489</c:v>
                </c:pt>
                <c:pt idx="89">
                  <c:v>-2.2933626371205489</c:v>
                </c:pt>
                <c:pt idx="90">
                  <c:v>-2.2933626371205489</c:v>
                </c:pt>
                <c:pt idx="91">
                  <c:v>-2.2933626371205489</c:v>
                </c:pt>
                <c:pt idx="92">
                  <c:v>-2.2933626371205489</c:v>
                </c:pt>
                <c:pt idx="93">
                  <c:v>-2.2933626371205489</c:v>
                </c:pt>
                <c:pt idx="94">
                  <c:v>-2.2933626371205489</c:v>
                </c:pt>
                <c:pt idx="95">
                  <c:v>-2.2933626371205489</c:v>
                </c:pt>
                <c:pt idx="96">
                  <c:v>-2.2933626371205489</c:v>
                </c:pt>
                <c:pt idx="97">
                  <c:v>-2.2933626371205489</c:v>
                </c:pt>
                <c:pt idx="98">
                  <c:v>-2.2933626371205489</c:v>
                </c:pt>
                <c:pt idx="99">
                  <c:v>-2.2933626371205489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'Gantry UI'!$T$2</c:f>
              <c:strCache>
                <c:ptCount val="1"/>
                <c:pt idx="0">
                  <c:v>HANPOSE 42HS8402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UI'!$T$3:$T$102</c:f>
              <c:numCache>
                <c:formatCode>0.0</c:formatCode>
                <c:ptCount val="100"/>
                <c:pt idx="0">
                  <c:v>26.15226013558723</c:v>
                </c:pt>
                <c:pt idx="1">
                  <c:v>26.15226013558723</c:v>
                </c:pt>
                <c:pt idx="2">
                  <c:v>26.15226013558723</c:v>
                </c:pt>
                <c:pt idx="3">
                  <c:v>26.15226013558723</c:v>
                </c:pt>
                <c:pt idx="4">
                  <c:v>26.15226013558723</c:v>
                </c:pt>
                <c:pt idx="5">
                  <c:v>26.15226013558723</c:v>
                </c:pt>
                <c:pt idx="6">
                  <c:v>26.15226013558723</c:v>
                </c:pt>
                <c:pt idx="7">
                  <c:v>26.15226013558723</c:v>
                </c:pt>
                <c:pt idx="8">
                  <c:v>26.15226013558723</c:v>
                </c:pt>
                <c:pt idx="9">
                  <c:v>26.15226013558723</c:v>
                </c:pt>
                <c:pt idx="10">
                  <c:v>26.15226013558723</c:v>
                </c:pt>
                <c:pt idx="11">
                  <c:v>26.15226013558723</c:v>
                </c:pt>
                <c:pt idx="12">
                  <c:v>25.670256378301744</c:v>
                </c:pt>
                <c:pt idx="13">
                  <c:v>22.263529364491927</c:v>
                </c:pt>
                <c:pt idx="14">
                  <c:v>19.241654569994644</c:v>
                </c:pt>
                <c:pt idx="15">
                  <c:v>16.542904461014192</c:v>
                </c:pt>
                <c:pt idx="16">
                  <c:v>14.118082418665695</c:v>
                </c:pt>
                <c:pt idx="17">
                  <c:v>11.9274965442298</c:v>
                </c:pt>
                <c:pt idx="18">
                  <c:v>9.9387700430346264</c:v>
                </c:pt>
                <c:pt idx="19">
                  <c:v>8.1252302575226949</c:v>
                </c:pt>
                <c:pt idx="20">
                  <c:v>6.4647054698695658</c:v>
                </c:pt>
                <c:pt idx="21">
                  <c:v>4.9386139310133608</c:v>
                </c:pt>
                <c:pt idx="22">
                  <c:v>3.531265533983174</c:v>
                </c:pt>
                <c:pt idx="23">
                  <c:v>2.2293203906001193</c:v>
                </c:pt>
                <c:pt idx="24">
                  <c:v>1.0213646667168432</c:v>
                </c:pt>
                <c:pt idx="25">
                  <c:v>-0.10242491958398592</c:v>
                </c:pt>
                <c:pt idx="26">
                  <c:v>-1.1505488309564842</c:v>
                </c:pt>
                <c:pt idx="27">
                  <c:v>-2.130400125048169</c:v>
                </c:pt>
                <c:pt idx="28">
                  <c:v>-2.1362830044410592</c:v>
                </c:pt>
                <c:pt idx="29">
                  <c:v>-2.1362830044410592</c:v>
                </c:pt>
                <c:pt idx="30">
                  <c:v>-2.1362830044410592</c:v>
                </c:pt>
                <c:pt idx="31">
                  <c:v>-2.1362830044410592</c:v>
                </c:pt>
                <c:pt idx="32">
                  <c:v>-2.1362830044410592</c:v>
                </c:pt>
                <c:pt idx="33">
                  <c:v>-2.1362830044410592</c:v>
                </c:pt>
                <c:pt idx="34">
                  <c:v>-2.1362830044410592</c:v>
                </c:pt>
                <c:pt idx="35">
                  <c:v>-2.1362830044410592</c:v>
                </c:pt>
                <c:pt idx="36">
                  <c:v>-2.1362830044410592</c:v>
                </c:pt>
                <c:pt idx="37">
                  <c:v>-2.1362830044410592</c:v>
                </c:pt>
                <c:pt idx="38">
                  <c:v>-2.1362830044410592</c:v>
                </c:pt>
                <c:pt idx="39">
                  <c:v>-2.1362830044410592</c:v>
                </c:pt>
                <c:pt idx="40">
                  <c:v>-2.1362830044410592</c:v>
                </c:pt>
                <c:pt idx="41">
                  <c:v>-2.1362830044410592</c:v>
                </c:pt>
                <c:pt idx="42">
                  <c:v>-2.1362830044410592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'Gantry UI'!$U$2</c:f>
              <c:strCache>
                <c:ptCount val="1"/>
                <c:pt idx="0">
                  <c:v>HANPOSE 42HS48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UI'!$U$3:$U$102</c:f>
              <c:numCache>
                <c:formatCode>0.0</c:formatCode>
                <c:ptCount val="100"/>
                <c:pt idx="0" formatCode="General">
                  <c:v>18.29433148557937</c:v>
                </c:pt>
                <c:pt idx="1">
                  <c:v>18.29433148557937</c:v>
                </c:pt>
                <c:pt idx="2">
                  <c:v>18.29433148557937</c:v>
                </c:pt>
                <c:pt idx="3">
                  <c:v>18.29433148557937</c:v>
                </c:pt>
                <c:pt idx="4">
                  <c:v>18.29433148557937</c:v>
                </c:pt>
                <c:pt idx="5">
                  <c:v>18.29433148557937</c:v>
                </c:pt>
                <c:pt idx="6">
                  <c:v>18.29433148557937</c:v>
                </c:pt>
                <c:pt idx="7">
                  <c:v>18.29433148557937</c:v>
                </c:pt>
                <c:pt idx="8">
                  <c:v>18.29433148557937</c:v>
                </c:pt>
                <c:pt idx="9">
                  <c:v>18.29433148557937</c:v>
                </c:pt>
                <c:pt idx="10">
                  <c:v>18.29433148557937</c:v>
                </c:pt>
                <c:pt idx="11">
                  <c:v>18.29433148557937</c:v>
                </c:pt>
                <c:pt idx="12">
                  <c:v>18.29433148557937</c:v>
                </c:pt>
                <c:pt idx="13">
                  <c:v>18.29433148557937</c:v>
                </c:pt>
                <c:pt idx="14">
                  <c:v>18.29433148557937</c:v>
                </c:pt>
                <c:pt idx="15">
                  <c:v>18.29433148557937</c:v>
                </c:pt>
                <c:pt idx="16">
                  <c:v>18.29433148557937</c:v>
                </c:pt>
                <c:pt idx="17">
                  <c:v>18.29433148557937</c:v>
                </c:pt>
                <c:pt idx="18">
                  <c:v>18.29433148557937</c:v>
                </c:pt>
                <c:pt idx="19">
                  <c:v>18.29433148557937</c:v>
                </c:pt>
                <c:pt idx="20">
                  <c:v>17.106093434690905</c:v>
                </c:pt>
                <c:pt idx="21">
                  <c:v>15.261972666146628</c:v>
                </c:pt>
                <c:pt idx="22">
                  <c:v>13.562030322857312</c:v>
                </c:pt>
                <c:pt idx="23">
                  <c:v>11.989994113283977</c:v>
                </c:pt>
                <c:pt idx="24">
                  <c:v>10.531951665739472</c:v>
                </c:pt>
                <c:pt idx="25">
                  <c:v>9.1759376820448555</c:v>
                </c:pt>
                <c:pt idx="26">
                  <c:v>7.9116048297468193</c:v>
                </c:pt>
                <c:pt idx="27">
                  <c:v>6.7299592051720563</c:v>
                </c:pt>
                <c:pt idx="28">
                  <c:v>5.6231460550883199</c:v>
                </c:pt>
                <c:pt idx="29">
                  <c:v>4.5842749589839329</c:v>
                </c:pt>
                <c:pt idx="30">
                  <c:v>3.6072762463747314</c:v>
                </c:pt>
                <c:pt idx="31">
                  <c:v>2.6867823264578861</c:v>
                </c:pt>
                <c:pt idx="32">
                  <c:v>1.8180290290144958</c:v>
                </c:pt>
                <c:pt idx="33">
                  <c:v>0.99677312729451462</c:v>
                </c:pt>
                <c:pt idx="34">
                  <c:v>0.21922302876531763</c:v>
                </c:pt>
                <c:pt idx="35">
                  <c:v>-0.51801975540106637</c:v>
                </c:pt>
                <c:pt idx="36">
                  <c:v>-1.2180102683447345</c:v>
                </c:pt>
                <c:pt idx="37">
                  <c:v>-1.8835024234922244</c:v>
                </c:pt>
                <c:pt idx="38">
                  <c:v>-2.1362830044410592</c:v>
                </c:pt>
                <c:pt idx="39">
                  <c:v>-2.1362830044410592</c:v>
                </c:pt>
                <c:pt idx="40">
                  <c:v>-2.1362830044410592</c:v>
                </c:pt>
                <c:pt idx="41">
                  <c:v>-2.1362830044410592</c:v>
                </c:pt>
                <c:pt idx="42">
                  <c:v>-2.1362830044410592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'Gantry UI'!$V$2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UI'!$V$3:$V$102</c:f>
              <c:numCache>
                <c:formatCode>0.0</c:formatCode>
                <c:ptCount val="100"/>
                <c:pt idx="0">
                  <c:v>14.281175067896784</c:v>
                </c:pt>
                <c:pt idx="1">
                  <c:v>14.281175067896784</c:v>
                </c:pt>
                <c:pt idx="2">
                  <c:v>14.281175067896784</c:v>
                </c:pt>
                <c:pt idx="3">
                  <c:v>14.281175067896784</c:v>
                </c:pt>
                <c:pt idx="4">
                  <c:v>14.281175067896784</c:v>
                </c:pt>
                <c:pt idx="5">
                  <c:v>14.281175067896784</c:v>
                </c:pt>
                <c:pt idx="6">
                  <c:v>14.281175067896784</c:v>
                </c:pt>
                <c:pt idx="7">
                  <c:v>14.281175067896784</c:v>
                </c:pt>
                <c:pt idx="8">
                  <c:v>14.281175067896784</c:v>
                </c:pt>
                <c:pt idx="9">
                  <c:v>14.281175067896784</c:v>
                </c:pt>
                <c:pt idx="10">
                  <c:v>14.281175067896784</c:v>
                </c:pt>
                <c:pt idx="11">
                  <c:v>14.281175067896784</c:v>
                </c:pt>
                <c:pt idx="12">
                  <c:v>14.281175067896784</c:v>
                </c:pt>
                <c:pt idx="13">
                  <c:v>14.281175067896784</c:v>
                </c:pt>
                <c:pt idx="14">
                  <c:v>14.281175067896784</c:v>
                </c:pt>
                <c:pt idx="15">
                  <c:v>14.281175067896784</c:v>
                </c:pt>
                <c:pt idx="16">
                  <c:v>14.281175067896784</c:v>
                </c:pt>
                <c:pt idx="17">
                  <c:v>12.925178891128205</c:v>
                </c:pt>
                <c:pt idx="18">
                  <c:v>11.683084207180171</c:v>
                </c:pt>
                <c:pt idx="19">
                  <c:v>10.559987989248111</c:v>
                </c:pt>
                <c:pt idx="20">
                  <c:v>9.5395710519897072</c:v>
                </c:pt>
                <c:pt idx="21">
                  <c:v>8.6083677370566178</c:v>
                </c:pt>
                <c:pt idx="22">
                  <c:v>7.7551683360922929</c:v>
                </c:pt>
                <c:pt idx="23">
                  <c:v>6.9705656482126965</c:v>
                </c:pt>
                <c:pt idx="24">
                  <c:v>6.2466066802870515</c:v>
                </c:pt>
                <c:pt idx="25">
                  <c:v>5.5765221048122182</c:v>
                </c:pt>
                <c:pt idx="26">
                  <c:v>4.9545139493776755</c:v>
                </c:pt>
                <c:pt idx="27">
                  <c:v>4.3755874013677225</c:v>
                </c:pt>
                <c:pt idx="28">
                  <c:v>3.835416391556612</c:v>
                </c:pt>
                <c:pt idx="29">
                  <c:v>3.3302352984249954</c:v>
                </c:pt>
                <c:pt idx="30">
                  <c:v>2.8567510370282307</c:v>
                </c:pt>
                <c:pt idx="31">
                  <c:v>2.412071192086549</c:v>
                </c:pt>
                <c:pt idx="32">
                  <c:v>1.9936448799652058</c:v>
                </c:pt>
                <c:pt idx="33">
                  <c:v>1.5992137847013312</c:v>
                </c:pt>
                <c:pt idx="34">
                  <c:v>1.2267713829424327</c:v>
                </c:pt>
                <c:pt idx="35">
                  <c:v>0.87452880332544103</c:v>
                </c:pt>
                <c:pt idx="36">
                  <c:v>0.54088609415528444</c:v>
                </c:pt>
                <c:pt idx="37">
                  <c:v>0.22440792556159872</c:v>
                </c:pt>
                <c:pt idx="38">
                  <c:v>-7.6197052317048097E-2</c:v>
                </c:pt>
                <c:pt idx="39">
                  <c:v>-0.36209382121765121</c:v>
                </c:pt>
                <c:pt idx="40">
                  <c:v>-0.63433608319217649</c:v>
                </c:pt>
                <c:pt idx="41">
                  <c:v>-0.89387923758514209</c:v>
                </c:pt>
                <c:pt idx="42">
                  <c:v>-1.1415915834145522</c:v>
                </c:pt>
                <c:pt idx="43">
                  <c:v>-1.3782640239684709</c:v>
                </c:pt>
                <c:pt idx="44">
                  <c:v>-1.6046185021579888</c:v>
                </c:pt>
                <c:pt idx="45">
                  <c:v>-1.8213153561636615</c:v>
                </c:pt>
                <c:pt idx="46">
                  <c:v>-2.0289597532410633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'Gantry UI'!$W$2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UI'!$W$3:$W$102</c:f>
              <c:numCache>
                <c:formatCode>0.0</c:formatCode>
                <c:ptCount val="100"/>
                <c:pt idx="0">
                  <c:v>18.192446810219536</c:v>
                </c:pt>
                <c:pt idx="1">
                  <c:v>18.192446810219536</c:v>
                </c:pt>
                <c:pt idx="2">
                  <c:v>18.192446810219536</c:v>
                </c:pt>
                <c:pt idx="3">
                  <c:v>18.192446810219536</c:v>
                </c:pt>
                <c:pt idx="4">
                  <c:v>18.192446810219536</c:v>
                </c:pt>
                <c:pt idx="5">
                  <c:v>18.192446810219536</c:v>
                </c:pt>
                <c:pt idx="6">
                  <c:v>18.192446810219536</c:v>
                </c:pt>
                <c:pt idx="7">
                  <c:v>18.192446810219536</c:v>
                </c:pt>
                <c:pt idx="8">
                  <c:v>18.192446810219536</c:v>
                </c:pt>
                <c:pt idx="9">
                  <c:v>18.192446810219536</c:v>
                </c:pt>
                <c:pt idx="10">
                  <c:v>18.192446810219536</c:v>
                </c:pt>
                <c:pt idx="11">
                  <c:v>18.192446810219536</c:v>
                </c:pt>
                <c:pt idx="12">
                  <c:v>18.192446810219536</c:v>
                </c:pt>
                <c:pt idx="13">
                  <c:v>18.192446810219536</c:v>
                </c:pt>
                <c:pt idx="14">
                  <c:v>18.192446810219536</c:v>
                </c:pt>
                <c:pt idx="15">
                  <c:v>18.192446810219536</c:v>
                </c:pt>
                <c:pt idx="16">
                  <c:v>18.192446810219536</c:v>
                </c:pt>
                <c:pt idx="17">
                  <c:v>18.192446810219536</c:v>
                </c:pt>
                <c:pt idx="18">
                  <c:v>18.192446810219536</c:v>
                </c:pt>
                <c:pt idx="19">
                  <c:v>18.192446810219536</c:v>
                </c:pt>
                <c:pt idx="20">
                  <c:v>17.941518678343137</c:v>
                </c:pt>
                <c:pt idx="21">
                  <c:v>15.907161481714526</c:v>
                </c:pt>
                <c:pt idx="22">
                  <c:v>14.033018871088411</c:v>
                </c:pt>
                <c:pt idx="23">
                  <c:v>12.300881474521804</c:v>
                </c:pt>
                <c:pt idx="24">
                  <c:v>10.695198668361737</c:v>
                </c:pt>
                <c:pt idx="25">
                  <c:v>9.2026104120201992</c:v>
                </c:pt>
                <c:pt idx="26">
                  <c:v>7.811574641605743</c:v>
                </c:pt>
                <c:pt idx="27">
                  <c:v>6.5120682154017402</c:v>
                </c:pt>
                <c:pt idx="28">
                  <c:v>5.2953450118832297</c:v>
                </c:pt>
                <c:pt idx="29">
                  <c:v>4.1537388307505214</c:v>
                </c:pt>
                <c:pt idx="30">
                  <c:v>3.080501705833901</c:v>
                </c:pt>
                <c:pt idx="31">
                  <c:v>2.0696704230028984</c:v>
                </c:pt>
                <c:pt idx="32">
                  <c:v>1.1159556650953948</c:v>
                </c:pt>
                <c:pt idx="33">
                  <c:v>0.21464943196730646</c:v>
                </c:pt>
                <c:pt idx="34">
                  <c:v>-0.63845268523454557</c:v>
                </c:pt>
                <c:pt idx="35">
                  <c:v>-1.447117083701432</c:v>
                </c:pt>
                <c:pt idx="36">
                  <c:v>-2.2147277406815178</c:v>
                </c:pt>
                <c:pt idx="37">
                  <c:v>-2.6703537555513237</c:v>
                </c:pt>
                <c:pt idx="38">
                  <c:v>-2.6703537555513237</c:v>
                </c:pt>
                <c:pt idx="39">
                  <c:v>-2.6703537555513237</c:v>
                </c:pt>
                <c:pt idx="40">
                  <c:v>-2.6703537555513237</c:v>
                </c:pt>
                <c:pt idx="41">
                  <c:v>-2.6703537555513237</c:v>
                </c:pt>
                <c:pt idx="42">
                  <c:v>-2.6703537555513237</c:v>
                </c:pt>
                <c:pt idx="43">
                  <c:v>-2.6703537555513237</c:v>
                </c:pt>
                <c:pt idx="44">
                  <c:v>-2.6703537555513237</c:v>
                </c:pt>
                <c:pt idx="45">
                  <c:v>-2.6703537555513237</c:v>
                </c:pt>
                <c:pt idx="46">
                  <c:v>-2.6703537555513237</c:v>
                </c:pt>
                <c:pt idx="47">
                  <c:v>-2.6703537555513237</c:v>
                </c:pt>
                <c:pt idx="48">
                  <c:v>-2.6703537555513237</c:v>
                </c:pt>
                <c:pt idx="49">
                  <c:v>-2.6703537555513237</c:v>
                </c:pt>
                <c:pt idx="50">
                  <c:v>-2.6703537555513237</c:v>
                </c:pt>
                <c:pt idx="51">
                  <c:v>-2.6703537555513237</c:v>
                </c:pt>
                <c:pt idx="52">
                  <c:v>-2.6703537555513237</c:v>
                </c:pt>
                <c:pt idx="53">
                  <c:v>-2.6703537555513237</c:v>
                </c:pt>
                <c:pt idx="54">
                  <c:v>-2.6703537555513237</c:v>
                </c:pt>
                <c:pt idx="55">
                  <c:v>-2.6703537555513237</c:v>
                </c:pt>
                <c:pt idx="56">
                  <c:v>-2.6703537555513237</c:v>
                </c:pt>
                <c:pt idx="57">
                  <c:v>-2.6703537555513237</c:v>
                </c:pt>
                <c:pt idx="58">
                  <c:v>-2.6703537555513237</c:v>
                </c:pt>
                <c:pt idx="59">
                  <c:v>-2.6703537555513237</c:v>
                </c:pt>
                <c:pt idx="60">
                  <c:v>-2.6703537555513237</c:v>
                </c:pt>
                <c:pt idx="61">
                  <c:v>-2.6703537555513237</c:v>
                </c:pt>
                <c:pt idx="62">
                  <c:v>-2.6703537555513237</c:v>
                </c:pt>
                <c:pt idx="63">
                  <c:v>-2.6703537555513237</c:v>
                </c:pt>
                <c:pt idx="64">
                  <c:v>-2.6703537555513237</c:v>
                </c:pt>
                <c:pt idx="65">
                  <c:v>-2.6703537555513237</c:v>
                </c:pt>
                <c:pt idx="66">
                  <c:v>-2.6703537555513237</c:v>
                </c:pt>
                <c:pt idx="67">
                  <c:v>-2.6703537555513237</c:v>
                </c:pt>
                <c:pt idx="68">
                  <c:v>-2.6703537555513237</c:v>
                </c:pt>
                <c:pt idx="69">
                  <c:v>-2.6703537555513237</c:v>
                </c:pt>
                <c:pt idx="70">
                  <c:v>-2.6703537555513237</c:v>
                </c:pt>
                <c:pt idx="71">
                  <c:v>-2.6703537555513237</c:v>
                </c:pt>
                <c:pt idx="72">
                  <c:v>-2.6703537555513237</c:v>
                </c:pt>
                <c:pt idx="73">
                  <c:v>-2.6703537555513237</c:v>
                </c:pt>
                <c:pt idx="74">
                  <c:v>-2.6703537555513237</c:v>
                </c:pt>
                <c:pt idx="75">
                  <c:v>-2.6703537555513237</c:v>
                </c:pt>
                <c:pt idx="76">
                  <c:v>-2.6703537555513237</c:v>
                </c:pt>
                <c:pt idx="77">
                  <c:v>-2.6703537555513237</c:v>
                </c:pt>
                <c:pt idx="78">
                  <c:v>-2.6703537555513237</c:v>
                </c:pt>
                <c:pt idx="79">
                  <c:v>-2.6703537555513237</c:v>
                </c:pt>
                <c:pt idx="80">
                  <c:v>-2.6703537555513237</c:v>
                </c:pt>
                <c:pt idx="81">
                  <c:v>-2.6703537555513237</c:v>
                </c:pt>
                <c:pt idx="82">
                  <c:v>-2.6703537555513237</c:v>
                </c:pt>
                <c:pt idx="83">
                  <c:v>-2.6703537555513237</c:v>
                </c:pt>
                <c:pt idx="84">
                  <c:v>-2.6703537555513237</c:v>
                </c:pt>
                <c:pt idx="85">
                  <c:v>-2.6703537555513237</c:v>
                </c:pt>
                <c:pt idx="86">
                  <c:v>-2.6703537555513237</c:v>
                </c:pt>
                <c:pt idx="87">
                  <c:v>-2.6703537555513237</c:v>
                </c:pt>
                <c:pt idx="88">
                  <c:v>-2.6703537555513237</c:v>
                </c:pt>
                <c:pt idx="89">
                  <c:v>-2.6703537555513237</c:v>
                </c:pt>
                <c:pt idx="90">
                  <c:v>-2.6703537555513237</c:v>
                </c:pt>
                <c:pt idx="91">
                  <c:v>-2.6703537555513237</c:v>
                </c:pt>
                <c:pt idx="92">
                  <c:v>-2.6703537555513237</c:v>
                </c:pt>
                <c:pt idx="93">
                  <c:v>-2.6703537555513237</c:v>
                </c:pt>
                <c:pt idx="94">
                  <c:v>-2.6703537555513237</c:v>
                </c:pt>
                <c:pt idx="95">
                  <c:v>-2.6703537555513237</c:v>
                </c:pt>
                <c:pt idx="96">
                  <c:v>-2.6703537555513237</c:v>
                </c:pt>
                <c:pt idx="97">
                  <c:v>-2.6703537555513237</c:v>
                </c:pt>
                <c:pt idx="98">
                  <c:v>-2.6703537555513237</c:v>
                </c:pt>
                <c:pt idx="99">
                  <c:v>-2.6703537555513237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'Gantry UI'!$X$2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'Gantry UI'!$Y$2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'Gantry UI'!$Z$2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'Gantry UI'!$AA$2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'Gantry UI'!$AB$2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'Gantry UI'!$AC$2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'Gantry UI'!$AD$2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'Gantry UI'!$AE$2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'Gantry UI'!$AF$2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'Gantry UI'!$AG$2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1416512"/>
        <c:crosses val="autoZero"/>
        <c:crossBetween val="midCat"/>
      </c:valAx>
      <c:spPr>
        <a:noFill/>
        <a:ln>
          <a:noFill/>
        </a:ln>
        <a:effectLst>
          <a:softEdge rad="0"/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'Gantry UI'!$R$1</c:f>
          <c:strCache>
            <c:ptCount val="1"/>
            <c:pt idx="0">
              <c:v>Stepper Torque, 24V, 20T, 20k, 1000g,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9480674264631779E-2"/>
          <c:y val="7.7488732970405927E-2"/>
          <c:w val="0.91474303191232986"/>
          <c:h val="0.66927450256312526"/>
        </c:manualLayout>
      </c:layout>
      <c:scatterChart>
        <c:scatterStyle val="lineMarker"/>
        <c:varyColors val="0"/>
        <c:ser>
          <c:idx val="16"/>
          <c:order val="0"/>
          <c:tx>
            <c:strRef>
              <c:f>'Gantry UI'!$AH$2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UI'!$AH$3:$AH$102</c:f>
              <c:numCache>
                <c:formatCode>0.0</c:formatCode>
                <c:ptCount val="100"/>
                <c:pt idx="0">
                  <c:v>12.732395447351628</c:v>
                </c:pt>
                <c:pt idx="1">
                  <c:v>12.732395447351628</c:v>
                </c:pt>
                <c:pt idx="2">
                  <c:v>12.732395447351628</c:v>
                </c:pt>
                <c:pt idx="3">
                  <c:v>12.732395447351628</c:v>
                </c:pt>
                <c:pt idx="4">
                  <c:v>12.732395447351628</c:v>
                </c:pt>
                <c:pt idx="5">
                  <c:v>12.732395447351628</c:v>
                </c:pt>
                <c:pt idx="6">
                  <c:v>12.732395447351628</c:v>
                </c:pt>
                <c:pt idx="7">
                  <c:v>12.732395447351628</c:v>
                </c:pt>
                <c:pt idx="8">
                  <c:v>12.732395447351628</c:v>
                </c:pt>
                <c:pt idx="9">
                  <c:v>12.732395447351628</c:v>
                </c:pt>
                <c:pt idx="10">
                  <c:v>12.732395447351628</c:v>
                </c:pt>
                <c:pt idx="11">
                  <c:v>12.732395447351628</c:v>
                </c:pt>
                <c:pt idx="12">
                  <c:v>12.732395447351628</c:v>
                </c:pt>
                <c:pt idx="13">
                  <c:v>12.732395447351628</c:v>
                </c:pt>
                <c:pt idx="14">
                  <c:v>12.732395447351628</c:v>
                </c:pt>
                <c:pt idx="15">
                  <c:v>12.732395447351628</c:v>
                </c:pt>
                <c:pt idx="16">
                  <c:v>12.732395447351628</c:v>
                </c:pt>
                <c:pt idx="17">
                  <c:v>12.732395447351628</c:v>
                </c:pt>
                <c:pt idx="18">
                  <c:v>12.732395447351628</c:v>
                </c:pt>
                <c:pt idx="19">
                  <c:v>12.732395447351628</c:v>
                </c:pt>
                <c:pt idx="20">
                  <c:v>12.732395447351628</c:v>
                </c:pt>
                <c:pt idx="21">
                  <c:v>12.732395447351628</c:v>
                </c:pt>
                <c:pt idx="22">
                  <c:v>12.732395447351628</c:v>
                </c:pt>
                <c:pt idx="23">
                  <c:v>12.732395447351628</c:v>
                </c:pt>
                <c:pt idx="24">
                  <c:v>12.732395447351628</c:v>
                </c:pt>
                <c:pt idx="25">
                  <c:v>12.732395447351628</c:v>
                </c:pt>
                <c:pt idx="26">
                  <c:v>12.732395447351628</c:v>
                </c:pt>
                <c:pt idx="27">
                  <c:v>12.732395447351628</c:v>
                </c:pt>
                <c:pt idx="28">
                  <c:v>12.732395447351628</c:v>
                </c:pt>
                <c:pt idx="29">
                  <c:v>12.732395447351628</c:v>
                </c:pt>
                <c:pt idx="30">
                  <c:v>12.732395447351628</c:v>
                </c:pt>
                <c:pt idx="31">
                  <c:v>12.732395447351628</c:v>
                </c:pt>
                <c:pt idx="32">
                  <c:v>12.732395447351628</c:v>
                </c:pt>
                <c:pt idx="33">
                  <c:v>12.732395447351628</c:v>
                </c:pt>
                <c:pt idx="34">
                  <c:v>12.732395447351628</c:v>
                </c:pt>
                <c:pt idx="35">
                  <c:v>12.732395447351628</c:v>
                </c:pt>
                <c:pt idx="36">
                  <c:v>12.732395447351628</c:v>
                </c:pt>
                <c:pt idx="37">
                  <c:v>12.732395447351628</c:v>
                </c:pt>
                <c:pt idx="38">
                  <c:v>12.732395447351628</c:v>
                </c:pt>
                <c:pt idx="39">
                  <c:v>12.732395447351628</c:v>
                </c:pt>
                <c:pt idx="40">
                  <c:v>12.732395447351628</c:v>
                </c:pt>
                <c:pt idx="41">
                  <c:v>12.732395447351628</c:v>
                </c:pt>
                <c:pt idx="42">
                  <c:v>12.732395447351628</c:v>
                </c:pt>
                <c:pt idx="43">
                  <c:v>12.732395447351628</c:v>
                </c:pt>
                <c:pt idx="44">
                  <c:v>12.732395447351628</c:v>
                </c:pt>
                <c:pt idx="45">
                  <c:v>12.732395447351628</c:v>
                </c:pt>
                <c:pt idx="46">
                  <c:v>12.732395447351628</c:v>
                </c:pt>
                <c:pt idx="47">
                  <c:v>12.732395447351628</c:v>
                </c:pt>
                <c:pt idx="48">
                  <c:v>12.732395447351628</c:v>
                </c:pt>
                <c:pt idx="49">
                  <c:v>12.732395447351628</c:v>
                </c:pt>
                <c:pt idx="50">
                  <c:v>12.732395447351628</c:v>
                </c:pt>
                <c:pt idx="51">
                  <c:v>12.732395447351628</c:v>
                </c:pt>
                <c:pt idx="52">
                  <c:v>12.732395447351628</c:v>
                </c:pt>
                <c:pt idx="53">
                  <c:v>12.732395447351628</c:v>
                </c:pt>
                <c:pt idx="54">
                  <c:v>12.732395447351628</c:v>
                </c:pt>
                <c:pt idx="55">
                  <c:v>12.732395447351628</c:v>
                </c:pt>
                <c:pt idx="56">
                  <c:v>12.732395447351628</c:v>
                </c:pt>
                <c:pt idx="57">
                  <c:v>12.732395447351628</c:v>
                </c:pt>
                <c:pt idx="58">
                  <c:v>12.732395447351628</c:v>
                </c:pt>
                <c:pt idx="59">
                  <c:v>12.732395447351628</c:v>
                </c:pt>
                <c:pt idx="60">
                  <c:v>12.732395447351628</c:v>
                </c:pt>
                <c:pt idx="61">
                  <c:v>12.732395447351628</c:v>
                </c:pt>
                <c:pt idx="62">
                  <c:v>12.732395447351628</c:v>
                </c:pt>
                <c:pt idx="63">
                  <c:v>12.732395447351628</c:v>
                </c:pt>
                <c:pt idx="64">
                  <c:v>12.732395447351628</c:v>
                </c:pt>
                <c:pt idx="65">
                  <c:v>12.732395447351628</c:v>
                </c:pt>
                <c:pt idx="66">
                  <c:v>12.732395447351628</c:v>
                </c:pt>
                <c:pt idx="67">
                  <c:v>12.732395447351628</c:v>
                </c:pt>
                <c:pt idx="68">
                  <c:v>12.732395447351628</c:v>
                </c:pt>
                <c:pt idx="69">
                  <c:v>12.732395447351628</c:v>
                </c:pt>
                <c:pt idx="70">
                  <c:v>12.732395447351628</c:v>
                </c:pt>
                <c:pt idx="71">
                  <c:v>12.732395447351628</c:v>
                </c:pt>
                <c:pt idx="72">
                  <c:v>12.732395447351628</c:v>
                </c:pt>
                <c:pt idx="73">
                  <c:v>12.732395447351628</c:v>
                </c:pt>
                <c:pt idx="74">
                  <c:v>12.732395447351628</c:v>
                </c:pt>
                <c:pt idx="75">
                  <c:v>12.732395447351628</c:v>
                </c:pt>
                <c:pt idx="76">
                  <c:v>12.732395447351628</c:v>
                </c:pt>
                <c:pt idx="77">
                  <c:v>12.732395447351628</c:v>
                </c:pt>
                <c:pt idx="78">
                  <c:v>12.732395447351628</c:v>
                </c:pt>
                <c:pt idx="79">
                  <c:v>12.732395447351628</c:v>
                </c:pt>
                <c:pt idx="80">
                  <c:v>12.732395447351628</c:v>
                </c:pt>
                <c:pt idx="81">
                  <c:v>12.732395447351628</c:v>
                </c:pt>
                <c:pt idx="82">
                  <c:v>12.732395447351628</c:v>
                </c:pt>
                <c:pt idx="83">
                  <c:v>12.732395447351628</c:v>
                </c:pt>
                <c:pt idx="84">
                  <c:v>12.732395447351628</c:v>
                </c:pt>
                <c:pt idx="85">
                  <c:v>12.732395447351628</c:v>
                </c:pt>
                <c:pt idx="86">
                  <c:v>12.732395447351628</c:v>
                </c:pt>
                <c:pt idx="87">
                  <c:v>12.732395447351628</c:v>
                </c:pt>
                <c:pt idx="88">
                  <c:v>12.732395447351628</c:v>
                </c:pt>
                <c:pt idx="89">
                  <c:v>12.732395447351628</c:v>
                </c:pt>
                <c:pt idx="90">
                  <c:v>12.732395447351628</c:v>
                </c:pt>
                <c:pt idx="91">
                  <c:v>12.732395447351628</c:v>
                </c:pt>
                <c:pt idx="92">
                  <c:v>12.732395447351628</c:v>
                </c:pt>
                <c:pt idx="93">
                  <c:v>12.732395447351628</c:v>
                </c:pt>
                <c:pt idx="94">
                  <c:v>12.732395447351628</c:v>
                </c:pt>
                <c:pt idx="95">
                  <c:v>12.732395447351628</c:v>
                </c:pt>
                <c:pt idx="96">
                  <c:v>12.732395447351628</c:v>
                </c:pt>
                <c:pt idx="97">
                  <c:v>12.732395447351628</c:v>
                </c:pt>
                <c:pt idx="98">
                  <c:v>12.732395447351628</c:v>
                </c:pt>
                <c:pt idx="99">
                  <c:v>12.732395447351628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'Gantry UI'!$R$2</c:f>
              <c:strCache>
                <c:ptCount val="1"/>
                <c:pt idx="0">
                  <c:v>Leadshine 42CM06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UI'!$R$3:$R$102</c:f>
              <c:numCache>
                <c:formatCode>0.0</c:formatCode>
                <c:ptCount val="100"/>
                <c:pt idx="0">
                  <c:v>14.711179173432322</c:v>
                </c:pt>
                <c:pt idx="1">
                  <c:v>14.711179173432322</c:v>
                </c:pt>
                <c:pt idx="2">
                  <c:v>14.711179173432322</c:v>
                </c:pt>
                <c:pt idx="3">
                  <c:v>14.711179173432322</c:v>
                </c:pt>
                <c:pt idx="4">
                  <c:v>14.711179173432322</c:v>
                </c:pt>
                <c:pt idx="5">
                  <c:v>14.711179173432322</c:v>
                </c:pt>
                <c:pt idx="6">
                  <c:v>14.711179173432322</c:v>
                </c:pt>
                <c:pt idx="7">
                  <c:v>14.711179173432322</c:v>
                </c:pt>
                <c:pt idx="8">
                  <c:v>14.711179173432322</c:v>
                </c:pt>
                <c:pt idx="9">
                  <c:v>14.711179173432322</c:v>
                </c:pt>
                <c:pt idx="10">
                  <c:v>14.711179173432322</c:v>
                </c:pt>
                <c:pt idx="11">
                  <c:v>14.711179173432322</c:v>
                </c:pt>
                <c:pt idx="12">
                  <c:v>14.711179173432322</c:v>
                </c:pt>
                <c:pt idx="13">
                  <c:v>14.711179173432322</c:v>
                </c:pt>
                <c:pt idx="14">
                  <c:v>14.711179173432322</c:v>
                </c:pt>
                <c:pt idx="15">
                  <c:v>14.711179173432322</c:v>
                </c:pt>
                <c:pt idx="16">
                  <c:v>14.711179173432322</c:v>
                </c:pt>
                <c:pt idx="17">
                  <c:v>14.711179173432322</c:v>
                </c:pt>
                <c:pt idx="18">
                  <c:v>14.711179173432322</c:v>
                </c:pt>
                <c:pt idx="19">
                  <c:v>14.711179173432322</c:v>
                </c:pt>
                <c:pt idx="20">
                  <c:v>14.711179173432322</c:v>
                </c:pt>
                <c:pt idx="21">
                  <c:v>14.711179173432322</c:v>
                </c:pt>
                <c:pt idx="22">
                  <c:v>14.711179173432322</c:v>
                </c:pt>
                <c:pt idx="23">
                  <c:v>14.711179173432322</c:v>
                </c:pt>
                <c:pt idx="24">
                  <c:v>14.711179173432322</c:v>
                </c:pt>
                <c:pt idx="25">
                  <c:v>14.711179173432322</c:v>
                </c:pt>
                <c:pt idx="26">
                  <c:v>14.711179173432322</c:v>
                </c:pt>
                <c:pt idx="27">
                  <c:v>14.711179173432322</c:v>
                </c:pt>
                <c:pt idx="28">
                  <c:v>14.711179173432322</c:v>
                </c:pt>
                <c:pt idx="29">
                  <c:v>14.711179173432322</c:v>
                </c:pt>
                <c:pt idx="30">
                  <c:v>13.834482731880469</c:v>
                </c:pt>
                <c:pt idx="31">
                  <c:v>12.327667823454242</c:v>
                </c:pt>
                <c:pt idx="32">
                  <c:v>10.905550423210686</c:v>
                </c:pt>
                <c:pt idx="33">
                  <c:v>9.5611845240242168</c:v>
                </c:pt>
                <c:pt idx="34">
                  <c:v>8.2883634274786626</c:v>
                </c:pt>
                <c:pt idx="35">
                  <c:v>7.0815239315568217</c:v>
                </c:pt>
                <c:pt idx="36">
                  <c:v>5.9356650422816752</c:v>
                </c:pt>
                <c:pt idx="37">
                  <c:v>4.8462787040128461</c:v>
                </c:pt>
                <c:pt idx="38">
                  <c:v>3.8092905251087976</c:v>
                </c:pt>
                <c:pt idx="39">
                  <c:v>2.8210088557944819</c:v>
                </c:pt>
                <c:pt idx="40">
                  <c:v>1.8780808767022221</c:v>
                </c:pt>
                <c:pt idx="41">
                  <c:v>0.9774545972892712</c:v>
                </c:pt>
                <c:pt idx="42">
                  <c:v>0.11634585653778862</c:v>
                </c:pt>
                <c:pt idx="43">
                  <c:v>-0.7077904257835792</c:v>
                </c:pt>
                <c:pt idx="44">
                  <c:v>-1.4972853726275122</c:v>
                </c:pt>
                <c:pt idx="45">
                  <c:v>-2.2542781703009998</c:v>
                </c:pt>
                <c:pt idx="46">
                  <c:v>-2.2619467105846511</c:v>
                </c:pt>
                <c:pt idx="47">
                  <c:v>-2.2619467105846511</c:v>
                </c:pt>
                <c:pt idx="48">
                  <c:v>-2.2619467105846511</c:v>
                </c:pt>
                <c:pt idx="49">
                  <c:v>-2.2619467105846511</c:v>
                </c:pt>
                <c:pt idx="50">
                  <c:v>-2.2619467105846511</c:v>
                </c:pt>
                <c:pt idx="51">
                  <c:v>-2.2619467105846511</c:v>
                </c:pt>
                <c:pt idx="52">
                  <c:v>-2.2619467105846511</c:v>
                </c:pt>
                <c:pt idx="53">
                  <c:v>-2.2619467105846511</c:v>
                </c:pt>
                <c:pt idx="54">
                  <c:v>-2.2619467105846511</c:v>
                </c:pt>
                <c:pt idx="55">
                  <c:v>-2.2619467105846511</c:v>
                </c:pt>
                <c:pt idx="56">
                  <c:v>-2.2619467105846511</c:v>
                </c:pt>
                <c:pt idx="57">
                  <c:v>-2.2619467105846511</c:v>
                </c:pt>
                <c:pt idx="58">
                  <c:v>-2.2619467105846511</c:v>
                </c:pt>
                <c:pt idx="59">
                  <c:v>-2.2619467105846511</c:v>
                </c:pt>
                <c:pt idx="60">
                  <c:v>-2.2619467105846511</c:v>
                </c:pt>
                <c:pt idx="61">
                  <c:v>-2.2619467105846511</c:v>
                </c:pt>
                <c:pt idx="62">
                  <c:v>-2.2619467105846511</c:v>
                </c:pt>
                <c:pt idx="63">
                  <c:v>-2.2619467105846511</c:v>
                </c:pt>
                <c:pt idx="64">
                  <c:v>-2.2619467105846511</c:v>
                </c:pt>
                <c:pt idx="65">
                  <c:v>-2.2619467105846511</c:v>
                </c:pt>
                <c:pt idx="66">
                  <c:v>-2.2619467105846511</c:v>
                </c:pt>
                <c:pt idx="67">
                  <c:v>-2.2619467105846511</c:v>
                </c:pt>
                <c:pt idx="68">
                  <c:v>-2.2619467105846511</c:v>
                </c:pt>
                <c:pt idx="69">
                  <c:v>-2.2619467105846511</c:v>
                </c:pt>
                <c:pt idx="70">
                  <c:v>-2.2619467105846511</c:v>
                </c:pt>
                <c:pt idx="71">
                  <c:v>-2.2619467105846511</c:v>
                </c:pt>
                <c:pt idx="72">
                  <c:v>-2.2619467105846511</c:v>
                </c:pt>
                <c:pt idx="73">
                  <c:v>-2.2619467105846511</c:v>
                </c:pt>
                <c:pt idx="74">
                  <c:v>-2.2619467105846511</c:v>
                </c:pt>
                <c:pt idx="75">
                  <c:v>-2.2619467105846511</c:v>
                </c:pt>
                <c:pt idx="76">
                  <c:v>-2.2619467105846511</c:v>
                </c:pt>
                <c:pt idx="77">
                  <c:v>-2.2619467105846511</c:v>
                </c:pt>
                <c:pt idx="78">
                  <c:v>-2.2619467105846511</c:v>
                </c:pt>
                <c:pt idx="79">
                  <c:v>-2.2619467105846511</c:v>
                </c:pt>
                <c:pt idx="80">
                  <c:v>-2.2619467105846511</c:v>
                </c:pt>
                <c:pt idx="81">
                  <c:v>-2.2619467105846511</c:v>
                </c:pt>
                <c:pt idx="82">
                  <c:v>-2.2619467105846511</c:v>
                </c:pt>
                <c:pt idx="83">
                  <c:v>-2.2619467105846511</c:v>
                </c:pt>
                <c:pt idx="84">
                  <c:v>-2.2619467105846511</c:v>
                </c:pt>
                <c:pt idx="85">
                  <c:v>-2.2619467105846511</c:v>
                </c:pt>
                <c:pt idx="86">
                  <c:v>-2.2619467105846511</c:v>
                </c:pt>
                <c:pt idx="87">
                  <c:v>-2.2619467105846511</c:v>
                </c:pt>
                <c:pt idx="88">
                  <c:v>-2.2619467105846511</c:v>
                </c:pt>
                <c:pt idx="89">
                  <c:v>-2.2619467105846511</c:v>
                </c:pt>
                <c:pt idx="90">
                  <c:v>-2.2619467105846511</c:v>
                </c:pt>
                <c:pt idx="91">
                  <c:v>-2.2619467105846511</c:v>
                </c:pt>
                <c:pt idx="92">
                  <c:v>-2.2619467105846511</c:v>
                </c:pt>
                <c:pt idx="93">
                  <c:v>-2.2619467105846511</c:v>
                </c:pt>
                <c:pt idx="94">
                  <c:v>-2.2619467105846511</c:v>
                </c:pt>
                <c:pt idx="95">
                  <c:v>-2.2619467105846511</c:v>
                </c:pt>
                <c:pt idx="96">
                  <c:v>-2.2619467105846511</c:v>
                </c:pt>
                <c:pt idx="97">
                  <c:v>-2.2619467105846511</c:v>
                </c:pt>
                <c:pt idx="98">
                  <c:v>-2.2619467105846511</c:v>
                </c:pt>
                <c:pt idx="99">
                  <c:v>-2.2619467105846511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'Gantry UI'!$S$2</c:f>
              <c:strCache>
                <c:ptCount val="1"/>
                <c:pt idx="0">
                  <c:v>Yisheng 42CM06-01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UI'!$S$3:$S$102</c:f>
              <c:numCache>
                <c:formatCode>0.0</c:formatCode>
                <c:ptCount val="100"/>
                <c:pt idx="0">
                  <c:v>19.356032623105179</c:v>
                </c:pt>
                <c:pt idx="1">
                  <c:v>19.356032623105179</c:v>
                </c:pt>
                <c:pt idx="2">
                  <c:v>19.356032623105179</c:v>
                </c:pt>
                <c:pt idx="3">
                  <c:v>19.356032623105179</c:v>
                </c:pt>
                <c:pt idx="4">
                  <c:v>19.356032623105179</c:v>
                </c:pt>
                <c:pt idx="5">
                  <c:v>19.356032623105179</c:v>
                </c:pt>
                <c:pt idx="6">
                  <c:v>19.356032623105179</c:v>
                </c:pt>
                <c:pt idx="7">
                  <c:v>19.356032623105179</c:v>
                </c:pt>
                <c:pt idx="8">
                  <c:v>19.356032623105179</c:v>
                </c:pt>
                <c:pt idx="9">
                  <c:v>19.356032623105179</c:v>
                </c:pt>
                <c:pt idx="10">
                  <c:v>19.356032623105179</c:v>
                </c:pt>
                <c:pt idx="11">
                  <c:v>19.356032623105179</c:v>
                </c:pt>
                <c:pt idx="12">
                  <c:v>19.356032623105179</c:v>
                </c:pt>
                <c:pt idx="13">
                  <c:v>19.356032623105179</c:v>
                </c:pt>
                <c:pt idx="14">
                  <c:v>19.356032623105179</c:v>
                </c:pt>
                <c:pt idx="15">
                  <c:v>19.356032623105179</c:v>
                </c:pt>
                <c:pt idx="16">
                  <c:v>19.356032623105179</c:v>
                </c:pt>
                <c:pt idx="17">
                  <c:v>19.109843415355346</c:v>
                </c:pt>
                <c:pt idx="18">
                  <c:v>16.977140256794851</c:v>
                </c:pt>
                <c:pt idx="19">
                  <c:v>15.038107635176701</c:v>
                </c:pt>
                <c:pt idx="20">
                  <c:v>13.267510544619345</c:v>
                </c:pt>
                <c:pt idx="21">
                  <c:v>11.644315606132256</c:v>
                </c:pt>
                <c:pt idx="22">
                  <c:v>10.150851549287072</c:v>
                </c:pt>
                <c:pt idx="23">
                  <c:v>8.772163249973989</c:v>
                </c:pt>
                <c:pt idx="24">
                  <c:v>7.4955091876636359</c:v>
                </c:pt>
                <c:pt idx="25">
                  <c:v>6.3099664980466965</c:v>
                </c:pt>
                <c:pt idx="26">
                  <c:v>5.2061176712585073</c:v>
                </c:pt>
                <c:pt idx="27">
                  <c:v>4.1757998603015594</c:v>
                </c:pt>
                <c:pt idx="28">
                  <c:v>3.2119026728311222</c:v>
                </c:pt>
                <c:pt idx="29">
                  <c:v>2.3082038485277425</c:v>
                </c:pt>
                <c:pt idx="30">
                  <c:v>1.4592347915683126</c:v>
                </c:pt>
                <c:pt idx="31">
                  <c:v>0.66016981589955748</c:v>
                </c:pt>
                <c:pt idx="32">
                  <c:v>-9.3265635992274998E-2</c:v>
                </c:pt>
                <c:pt idx="33">
                  <c:v>-0.80487148764520611</c:v>
                </c:pt>
                <c:pt idx="34">
                  <c:v>-1.4780371267134722</c:v>
                </c:pt>
                <c:pt idx="35">
                  <c:v>-2.1157953887049397</c:v>
                </c:pt>
                <c:pt idx="36">
                  <c:v>-2.2933626371205489</c:v>
                </c:pt>
                <c:pt idx="37">
                  <c:v>-2.2933626371205489</c:v>
                </c:pt>
                <c:pt idx="38">
                  <c:v>-2.2933626371205489</c:v>
                </c:pt>
                <c:pt idx="39">
                  <c:v>-2.2933626371205489</c:v>
                </c:pt>
                <c:pt idx="40">
                  <c:v>-2.2933626371205489</c:v>
                </c:pt>
                <c:pt idx="41">
                  <c:v>-2.2933626371205489</c:v>
                </c:pt>
                <c:pt idx="42">
                  <c:v>-2.2933626371205489</c:v>
                </c:pt>
                <c:pt idx="43">
                  <c:v>-2.2933626371205489</c:v>
                </c:pt>
                <c:pt idx="44">
                  <c:v>-2.2933626371205489</c:v>
                </c:pt>
                <c:pt idx="45">
                  <c:v>-2.2933626371205489</c:v>
                </c:pt>
                <c:pt idx="46">
                  <c:v>-2.2933626371205489</c:v>
                </c:pt>
                <c:pt idx="47">
                  <c:v>-2.2933626371205489</c:v>
                </c:pt>
                <c:pt idx="48">
                  <c:v>-2.2933626371205489</c:v>
                </c:pt>
                <c:pt idx="49">
                  <c:v>-2.2933626371205489</c:v>
                </c:pt>
                <c:pt idx="50">
                  <c:v>-2.2933626371205489</c:v>
                </c:pt>
                <c:pt idx="51">
                  <c:v>-2.2933626371205489</c:v>
                </c:pt>
                <c:pt idx="52">
                  <c:v>-2.2933626371205489</c:v>
                </c:pt>
                <c:pt idx="53">
                  <c:v>-2.2933626371205489</c:v>
                </c:pt>
                <c:pt idx="54">
                  <c:v>-2.2933626371205489</c:v>
                </c:pt>
                <c:pt idx="55">
                  <c:v>-2.2933626371205489</c:v>
                </c:pt>
                <c:pt idx="56">
                  <c:v>-2.2933626371205489</c:v>
                </c:pt>
                <c:pt idx="57">
                  <c:v>-2.2933626371205489</c:v>
                </c:pt>
                <c:pt idx="58">
                  <c:v>-2.2933626371205489</c:v>
                </c:pt>
                <c:pt idx="59">
                  <c:v>-2.2933626371205489</c:v>
                </c:pt>
                <c:pt idx="60">
                  <c:v>-2.2933626371205489</c:v>
                </c:pt>
                <c:pt idx="61">
                  <c:v>-2.2933626371205489</c:v>
                </c:pt>
                <c:pt idx="62">
                  <c:v>-2.2933626371205489</c:v>
                </c:pt>
                <c:pt idx="63">
                  <c:v>-2.2933626371205489</c:v>
                </c:pt>
                <c:pt idx="64">
                  <c:v>-2.2933626371205489</c:v>
                </c:pt>
                <c:pt idx="65">
                  <c:v>-2.2933626371205489</c:v>
                </c:pt>
                <c:pt idx="66">
                  <c:v>-2.2933626371205489</c:v>
                </c:pt>
                <c:pt idx="67">
                  <c:v>-2.2933626371205489</c:v>
                </c:pt>
                <c:pt idx="68">
                  <c:v>-2.2933626371205489</c:v>
                </c:pt>
                <c:pt idx="69">
                  <c:v>-2.2933626371205489</c:v>
                </c:pt>
                <c:pt idx="70">
                  <c:v>-2.2933626371205489</c:v>
                </c:pt>
                <c:pt idx="71">
                  <c:v>-2.2933626371205489</c:v>
                </c:pt>
                <c:pt idx="72">
                  <c:v>-2.2933626371205489</c:v>
                </c:pt>
                <c:pt idx="73">
                  <c:v>-2.2933626371205489</c:v>
                </c:pt>
                <c:pt idx="74">
                  <c:v>-2.2933626371205489</c:v>
                </c:pt>
                <c:pt idx="75">
                  <c:v>-2.2933626371205489</c:v>
                </c:pt>
                <c:pt idx="76">
                  <c:v>-2.2933626371205489</c:v>
                </c:pt>
                <c:pt idx="77">
                  <c:v>-2.2933626371205489</c:v>
                </c:pt>
                <c:pt idx="78">
                  <c:v>-2.2933626371205489</c:v>
                </c:pt>
                <c:pt idx="79">
                  <c:v>-2.2933626371205489</c:v>
                </c:pt>
                <c:pt idx="80">
                  <c:v>-2.2933626371205489</c:v>
                </c:pt>
                <c:pt idx="81">
                  <c:v>-2.2933626371205489</c:v>
                </c:pt>
                <c:pt idx="82">
                  <c:v>-2.2933626371205489</c:v>
                </c:pt>
                <c:pt idx="83">
                  <c:v>-2.2933626371205489</c:v>
                </c:pt>
                <c:pt idx="84">
                  <c:v>-2.2933626371205489</c:v>
                </c:pt>
                <c:pt idx="85">
                  <c:v>-2.2933626371205489</c:v>
                </c:pt>
                <c:pt idx="86">
                  <c:v>-2.2933626371205489</c:v>
                </c:pt>
                <c:pt idx="87">
                  <c:v>-2.2933626371205489</c:v>
                </c:pt>
                <c:pt idx="88">
                  <c:v>-2.2933626371205489</c:v>
                </c:pt>
                <c:pt idx="89">
                  <c:v>-2.2933626371205489</c:v>
                </c:pt>
                <c:pt idx="90">
                  <c:v>-2.2933626371205489</c:v>
                </c:pt>
                <c:pt idx="91">
                  <c:v>-2.2933626371205489</c:v>
                </c:pt>
                <c:pt idx="92">
                  <c:v>-2.2933626371205489</c:v>
                </c:pt>
                <c:pt idx="93">
                  <c:v>-2.2933626371205489</c:v>
                </c:pt>
                <c:pt idx="94">
                  <c:v>-2.2933626371205489</c:v>
                </c:pt>
                <c:pt idx="95">
                  <c:v>-2.2933626371205489</c:v>
                </c:pt>
                <c:pt idx="96">
                  <c:v>-2.2933626371205489</c:v>
                </c:pt>
                <c:pt idx="97">
                  <c:v>-2.2933626371205489</c:v>
                </c:pt>
                <c:pt idx="98">
                  <c:v>-2.2933626371205489</c:v>
                </c:pt>
                <c:pt idx="99">
                  <c:v>-2.2933626371205489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'Gantry UI'!$T$2</c:f>
              <c:strCache>
                <c:ptCount val="1"/>
                <c:pt idx="0">
                  <c:v>HANPOSE 42HS8402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UI'!$T$3:$T$102</c:f>
              <c:numCache>
                <c:formatCode>0.0</c:formatCode>
                <c:ptCount val="100"/>
                <c:pt idx="0">
                  <c:v>26.15226013558723</c:v>
                </c:pt>
                <c:pt idx="1">
                  <c:v>26.15226013558723</c:v>
                </c:pt>
                <c:pt idx="2">
                  <c:v>26.15226013558723</c:v>
                </c:pt>
                <c:pt idx="3">
                  <c:v>26.15226013558723</c:v>
                </c:pt>
                <c:pt idx="4">
                  <c:v>26.15226013558723</c:v>
                </c:pt>
                <c:pt idx="5">
                  <c:v>26.15226013558723</c:v>
                </c:pt>
                <c:pt idx="6">
                  <c:v>26.15226013558723</c:v>
                </c:pt>
                <c:pt idx="7">
                  <c:v>26.15226013558723</c:v>
                </c:pt>
                <c:pt idx="8">
                  <c:v>26.15226013558723</c:v>
                </c:pt>
                <c:pt idx="9">
                  <c:v>26.15226013558723</c:v>
                </c:pt>
                <c:pt idx="10">
                  <c:v>26.15226013558723</c:v>
                </c:pt>
                <c:pt idx="11">
                  <c:v>26.15226013558723</c:v>
                </c:pt>
                <c:pt idx="12">
                  <c:v>25.670256378301744</c:v>
                </c:pt>
                <c:pt idx="13">
                  <c:v>22.263529364491927</c:v>
                </c:pt>
                <c:pt idx="14">
                  <c:v>19.241654569994644</c:v>
                </c:pt>
                <c:pt idx="15">
                  <c:v>16.542904461014192</c:v>
                </c:pt>
                <c:pt idx="16">
                  <c:v>14.118082418665695</c:v>
                </c:pt>
                <c:pt idx="17">
                  <c:v>11.9274965442298</c:v>
                </c:pt>
                <c:pt idx="18">
                  <c:v>9.9387700430346264</c:v>
                </c:pt>
                <c:pt idx="19">
                  <c:v>8.1252302575226949</c:v>
                </c:pt>
                <c:pt idx="20">
                  <c:v>6.4647054698695658</c:v>
                </c:pt>
                <c:pt idx="21">
                  <c:v>4.9386139310133608</c:v>
                </c:pt>
                <c:pt idx="22">
                  <c:v>3.531265533983174</c:v>
                </c:pt>
                <c:pt idx="23">
                  <c:v>2.2293203906001193</c:v>
                </c:pt>
                <c:pt idx="24">
                  <c:v>1.0213646667168432</c:v>
                </c:pt>
                <c:pt idx="25">
                  <c:v>-0.10242491958398592</c:v>
                </c:pt>
                <c:pt idx="26">
                  <c:v>-1.1505488309564842</c:v>
                </c:pt>
                <c:pt idx="27">
                  <c:v>-2.130400125048169</c:v>
                </c:pt>
                <c:pt idx="28">
                  <c:v>-2.1362830044410592</c:v>
                </c:pt>
                <c:pt idx="29">
                  <c:v>-2.1362830044410592</c:v>
                </c:pt>
                <c:pt idx="30">
                  <c:v>-2.1362830044410592</c:v>
                </c:pt>
                <c:pt idx="31">
                  <c:v>-2.1362830044410592</c:v>
                </c:pt>
                <c:pt idx="32">
                  <c:v>-2.1362830044410592</c:v>
                </c:pt>
                <c:pt idx="33">
                  <c:v>-2.1362830044410592</c:v>
                </c:pt>
                <c:pt idx="34">
                  <c:v>-2.1362830044410592</c:v>
                </c:pt>
                <c:pt idx="35">
                  <c:v>-2.1362830044410592</c:v>
                </c:pt>
                <c:pt idx="36">
                  <c:v>-2.1362830044410592</c:v>
                </c:pt>
                <c:pt idx="37">
                  <c:v>-2.1362830044410592</c:v>
                </c:pt>
                <c:pt idx="38">
                  <c:v>-2.1362830044410592</c:v>
                </c:pt>
                <c:pt idx="39">
                  <c:v>-2.1362830044410592</c:v>
                </c:pt>
                <c:pt idx="40">
                  <c:v>-2.1362830044410592</c:v>
                </c:pt>
                <c:pt idx="41">
                  <c:v>-2.1362830044410592</c:v>
                </c:pt>
                <c:pt idx="42">
                  <c:v>-2.1362830044410592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'Gantry UI'!$U$2</c:f>
              <c:strCache>
                <c:ptCount val="1"/>
                <c:pt idx="0">
                  <c:v>HANPOSE 42HS48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UI'!$U$3:$U$102</c:f>
              <c:numCache>
                <c:formatCode>0.0</c:formatCode>
                <c:ptCount val="100"/>
                <c:pt idx="0" formatCode="General">
                  <c:v>18.29433148557937</c:v>
                </c:pt>
                <c:pt idx="1">
                  <c:v>18.29433148557937</c:v>
                </c:pt>
                <c:pt idx="2">
                  <c:v>18.29433148557937</c:v>
                </c:pt>
                <c:pt idx="3">
                  <c:v>18.29433148557937</c:v>
                </c:pt>
                <c:pt idx="4">
                  <c:v>18.29433148557937</c:v>
                </c:pt>
                <c:pt idx="5">
                  <c:v>18.29433148557937</c:v>
                </c:pt>
                <c:pt idx="6">
                  <c:v>18.29433148557937</c:v>
                </c:pt>
                <c:pt idx="7">
                  <c:v>18.29433148557937</c:v>
                </c:pt>
                <c:pt idx="8">
                  <c:v>18.29433148557937</c:v>
                </c:pt>
                <c:pt idx="9">
                  <c:v>18.29433148557937</c:v>
                </c:pt>
                <c:pt idx="10">
                  <c:v>18.29433148557937</c:v>
                </c:pt>
                <c:pt idx="11">
                  <c:v>18.29433148557937</c:v>
                </c:pt>
                <c:pt idx="12">
                  <c:v>18.29433148557937</c:v>
                </c:pt>
                <c:pt idx="13">
                  <c:v>18.29433148557937</c:v>
                </c:pt>
                <c:pt idx="14">
                  <c:v>18.29433148557937</c:v>
                </c:pt>
                <c:pt idx="15">
                  <c:v>18.29433148557937</c:v>
                </c:pt>
                <c:pt idx="16">
                  <c:v>18.29433148557937</c:v>
                </c:pt>
                <c:pt idx="17">
                  <c:v>18.29433148557937</c:v>
                </c:pt>
                <c:pt idx="18">
                  <c:v>18.29433148557937</c:v>
                </c:pt>
                <c:pt idx="19">
                  <c:v>18.29433148557937</c:v>
                </c:pt>
                <c:pt idx="20">
                  <c:v>17.106093434690905</c:v>
                </c:pt>
                <c:pt idx="21">
                  <c:v>15.261972666146628</c:v>
                </c:pt>
                <c:pt idx="22">
                  <c:v>13.562030322857312</c:v>
                </c:pt>
                <c:pt idx="23">
                  <c:v>11.989994113283977</c:v>
                </c:pt>
                <c:pt idx="24">
                  <c:v>10.531951665739472</c:v>
                </c:pt>
                <c:pt idx="25">
                  <c:v>9.1759376820448555</c:v>
                </c:pt>
                <c:pt idx="26">
                  <c:v>7.9116048297468193</c:v>
                </c:pt>
                <c:pt idx="27">
                  <c:v>6.7299592051720563</c:v>
                </c:pt>
                <c:pt idx="28">
                  <c:v>5.6231460550883199</c:v>
                </c:pt>
                <c:pt idx="29">
                  <c:v>4.5842749589839329</c:v>
                </c:pt>
                <c:pt idx="30">
                  <c:v>3.6072762463747314</c:v>
                </c:pt>
                <c:pt idx="31">
                  <c:v>2.6867823264578861</c:v>
                </c:pt>
                <c:pt idx="32">
                  <c:v>1.8180290290144958</c:v>
                </c:pt>
                <c:pt idx="33">
                  <c:v>0.99677312729451462</c:v>
                </c:pt>
                <c:pt idx="34">
                  <c:v>0.21922302876531763</c:v>
                </c:pt>
                <c:pt idx="35">
                  <c:v>-0.51801975540106637</c:v>
                </c:pt>
                <c:pt idx="36">
                  <c:v>-1.2180102683447345</c:v>
                </c:pt>
                <c:pt idx="37">
                  <c:v>-1.8835024234922244</c:v>
                </c:pt>
                <c:pt idx="38">
                  <c:v>-2.1362830044410592</c:v>
                </c:pt>
                <c:pt idx="39">
                  <c:v>-2.1362830044410592</c:v>
                </c:pt>
                <c:pt idx="40">
                  <c:v>-2.1362830044410592</c:v>
                </c:pt>
                <c:pt idx="41">
                  <c:v>-2.1362830044410592</c:v>
                </c:pt>
                <c:pt idx="42">
                  <c:v>-2.1362830044410592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'Gantry UI'!$V$2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UI'!$V$3:$V$102</c:f>
              <c:numCache>
                <c:formatCode>0.0</c:formatCode>
                <c:ptCount val="100"/>
                <c:pt idx="0">
                  <c:v>14.281175067896784</c:v>
                </c:pt>
                <c:pt idx="1">
                  <c:v>14.281175067896784</c:v>
                </c:pt>
                <c:pt idx="2">
                  <c:v>14.281175067896784</c:v>
                </c:pt>
                <c:pt idx="3">
                  <c:v>14.281175067896784</c:v>
                </c:pt>
                <c:pt idx="4">
                  <c:v>14.281175067896784</c:v>
                </c:pt>
                <c:pt idx="5">
                  <c:v>14.281175067896784</c:v>
                </c:pt>
                <c:pt idx="6">
                  <c:v>14.281175067896784</c:v>
                </c:pt>
                <c:pt idx="7">
                  <c:v>14.281175067896784</c:v>
                </c:pt>
                <c:pt idx="8">
                  <c:v>14.281175067896784</c:v>
                </c:pt>
                <c:pt idx="9">
                  <c:v>14.281175067896784</c:v>
                </c:pt>
                <c:pt idx="10">
                  <c:v>14.281175067896784</c:v>
                </c:pt>
                <c:pt idx="11">
                  <c:v>14.281175067896784</c:v>
                </c:pt>
                <c:pt idx="12">
                  <c:v>14.281175067896784</c:v>
                </c:pt>
                <c:pt idx="13">
                  <c:v>14.281175067896784</c:v>
                </c:pt>
                <c:pt idx="14">
                  <c:v>14.281175067896784</c:v>
                </c:pt>
                <c:pt idx="15">
                  <c:v>14.281175067896784</c:v>
                </c:pt>
                <c:pt idx="16">
                  <c:v>14.281175067896784</c:v>
                </c:pt>
                <c:pt idx="17">
                  <c:v>12.925178891128205</c:v>
                </c:pt>
                <c:pt idx="18">
                  <c:v>11.683084207180171</c:v>
                </c:pt>
                <c:pt idx="19">
                  <c:v>10.559987989248111</c:v>
                </c:pt>
                <c:pt idx="20">
                  <c:v>9.5395710519897072</c:v>
                </c:pt>
                <c:pt idx="21">
                  <c:v>8.6083677370566178</c:v>
                </c:pt>
                <c:pt idx="22">
                  <c:v>7.7551683360922929</c:v>
                </c:pt>
                <c:pt idx="23">
                  <c:v>6.9705656482126965</c:v>
                </c:pt>
                <c:pt idx="24">
                  <c:v>6.2466066802870515</c:v>
                </c:pt>
                <c:pt idx="25">
                  <c:v>5.5765221048122182</c:v>
                </c:pt>
                <c:pt idx="26">
                  <c:v>4.9545139493776755</c:v>
                </c:pt>
                <c:pt idx="27">
                  <c:v>4.3755874013677225</c:v>
                </c:pt>
                <c:pt idx="28">
                  <c:v>3.835416391556612</c:v>
                </c:pt>
                <c:pt idx="29">
                  <c:v>3.3302352984249954</c:v>
                </c:pt>
                <c:pt idx="30">
                  <c:v>2.8567510370282307</c:v>
                </c:pt>
                <c:pt idx="31">
                  <c:v>2.412071192086549</c:v>
                </c:pt>
                <c:pt idx="32">
                  <c:v>1.9936448799652058</c:v>
                </c:pt>
                <c:pt idx="33">
                  <c:v>1.5992137847013312</c:v>
                </c:pt>
                <c:pt idx="34">
                  <c:v>1.2267713829424327</c:v>
                </c:pt>
                <c:pt idx="35">
                  <c:v>0.87452880332544103</c:v>
                </c:pt>
                <c:pt idx="36">
                  <c:v>0.54088609415528444</c:v>
                </c:pt>
                <c:pt idx="37">
                  <c:v>0.22440792556159872</c:v>
                </c:pt>
                <c:pt idx="38">
                  <c:v>-7.6197052317048097E-2</c:v>
                </c:pt>
                <c:pt idx="39">
                  <c:v>-0.36209382121765121</c:v>
                </c:pt>
                <c:pt idx="40">
                  <c:v>-0.63433608319217649</c:v>
                </c:pt>
                <c:pt idx="41">
                  <c:v>-0.89387923758514209</c:v>
                </c:pt>
                <c:pt idx="42">
                  <c:v>-1.1415915834145522</c:v>
                </c:pt>
                <c:pt idx="43">
                  <c:v>-1.3782640239684709</c:v>
                </c:pt>
                <c:pt idx="44">
                  <c:v>-1.6046185021579888</c:v>
                </c:pt>
                <c:pt idx="45">
                  <c:v>-1.8213153561636615</c:v>
                </c:pt>
                <c:pt idx="46">
                  <c:v>-2.0289597532410633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'Gantry UI'!$W$2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UI'!$W$3:$W$102</c:f>
              <c:numCache>
                <c:formatCode>0.0</c:formatCode>
                <c:ptCount val="100"/>
                <c:pt idx="0">
                  <c:v>18.192446810219536</c:v>
                </c:pt>
                <c:pt idx="1">
                  <c:v>18.192446810219536</c:v>
                </c:pt>
                <c:pt idx="2">
                  <c:v>18.192446810219536</c:v>
                </c:pt>
                <c:pt idx="3">
                  <c:v>18.192446810219536</c:v>
                </c:pt>
                <c:pt idx="4">
                  <c:v>18.192446810219536</c:v>
                </c:pt>
                <c:pt idx="5">
                  <c:v>18.192446810219536</c:v>
                </c:pt>
                <c:pt idx="6">
                  <c:v>18.192446810219536</c:v>
                </c:pt>
                <c:pt idx="7">
                  <c:v>18.192446810219536</c:v>
                </c:pt>
                <c:pt idx="8">
                  <c:v>18.192446810219536</c:v>
                </c:pt>
                <c:pt idx="9">
                  <c:v>18.192446810219536</c:v>
                </c:pt>
                <c:pt idx="10">
                  <c:v>18.192446810219536</c:v>
                </c:pt>
                <c:pt idx="11">
                  <c:v>18.192446810219536</c:v>
                </c:pt>
                <c:pt idx="12">
                  <c:v>18.192446810219536</c:v>
                </c:pt>
                <c:pt idx="13">
                  <c:v>18.192446810219536</c:v>
                </c:pt>
                <c:pt idx="14">
                  <c:v>18.192446810219536</c:v>
                </c:pt>
                <c:pt idx="15">
                  <c:v>18.192446810219536</c:v>
                </c:pt>
                <c:pt idx="16">
                  <c:v>18.192446810219536</c:v>
                </c:pt>
                <c:pt idx="17">
                  <c:v>18.192446810219536</c:v>
                </c:pt>
                <c:pt idx="18">
                  <c:v>18.192446810219536</c:v>
                </c:pt>
                <c:pt idx="19">
                  <c:v>18.192446810219536</c:v>
                </c:pt>
                <c:pt idx="20">
                  <c:v>17.941518678343137</c:v>
                </c:pt>
                <c:pt idx="21">
                  <c:v>15.907161481714526</c:v>
                </c:pt>
                <c:pt idx="22">
                  <c:v>14.033018871088411</c:v>
                </c:pt>
                <c:pt idx="23">
                  <c:v>12.300881474521804</c:v>
                </c:pt>
                <c:pt idx="24">
                  <c:v>10.695198668361737</c:v>
                </c:pt>
                <c:pt idx="25">
                  <c:v>9.2026104120201992</c:v>
                </c:pt>
                <c:pt idx="26">
                  <c:v>7.811574641605743</c:v>
                </c:pt>
                <c:pt idx="27">
                  <c:v>6.5120682154017402</c:v>
                </c:pt>
                <c:pt idx="28">
                  <c:v>5.2953450118832297</c:v>
                </c:pt>
                <c:pt idx="29">
                  <c:v>4.1537388307505214</c:v>
                </c:pt>
                <c:pt idx="30">
                  <c:v>3.080501705833901</c:v>
                </c:pt>
                <c:pt idx="31">
                  <c:v>2.0696704230028984</c:v>
                </c:pt>
                <c:pt idx="32">
                  <c:v>1.1159556650953948</c:v>
                </c:pt>
                <c:pt idx="33">
                  <c:v>0.21464943196730646</c:v>
                </c:pt>
                <c:pt idx="34">
                  <c:v>-0.63845268523454557</c:v>
                </c:pt>
                <c:pt idx="35">
                  <c:v>-1.447117083701432</c:v>
                </c:pt>
                <c:pt idx="36">
                  <c:v>-2.2147277406815178</c:v>
                </c:pt>
                <c:pt idx="37">
                  <c:v>-2.6703537555513237</c:v>
                </c:pt>
                <c:pt idx="38">
                  <c:v>-2.6703537555513237</c:v>
                </c:pt>
                <c:pt idx="39">
                  <c:v>-2.6703537555513237</c:v>
                </c:pt>
                <c:pt idx="40">
                  <c:v>-2.6703537555513237</c:v>
                </c:pt>
                <c:pt idx="41">
                  <c:v>-2.6703537555513237</c:v>
                </c:pt>
                <c:pt idx="42">
                  <c:v>-2.6703537555513237</c:v>
                </c:pt>
                <c:pt idx="43">
                  <c:v>-2.6703537555513237</c:v>
                </c:pt>
                <c:pt idx="44">
                  <c:v>-2.6703537555513237</c:v>
                </c:pt>
                <c:pt idx="45">
                  <c:v>-2.6703537555513237</c:v>
                </c:pt>
                <c:pt idx="46">
                  <c:v>-2.6703537555513237</c:v>
                </c:pt>
                <c:pt idx="47">
                  <c:v>-2.6703537555513237</c:v>
                </c:pt>
                <c:pt idx="48">
                  <c:v>-2.6703537555513237</c:v>
                </c:pt>
                <c:pt idx="49">
                  <c:v>-2.6703537555513237</c:v>
                </c:pt>
                <c:pt idx="50">
                  <c:v>-2.6703537555513237</c:v>
                </c:pt>
                <c:pt idx="51">
                  <c:v>-2.6703537555513237</c:v>
                </c:pt>
                <c:pt idx="52">
                  <c:v>-2.6703537555513237</c:v>
                </c:pt>
                <c:pt idx="53">
                  <c:v>-2.6703537555513237</c:v>
                </c:pt>
                <c:pt idx="54">
                  <c:v>-2.6703537555513237</c:v>
                </c:pt>
                <c:pt idx="55">
                  <c:v>-2.6703537555513237</c:v>
                </c:pt>
                <c:pt idx="56">
                  <c:v>-2.6703537555513237</c:v>
                </c:pt>
                <c:pt idx="57">
                  <c:v>-2.6703537555513237</c:v>
                </c:pt>
                <c:pt idx="58">
                  <c:v>-2.6703537555513237</c:v>
                </c:pt>
                <c:pt idx="59">
                  <c:v>-2.6703537555513237</c:v>
                </c:pt>
                <c:pt idx="60">
                  <c:v>-2.6703537555513237</c:v>
                </c:pt>
                <c:pt idx="61">
                  <c:v>-2.6703537555513237</c:v>
                </c:pt>
                <c:pt idx="62">
                  <c:v>-2.6703537555513237</c:v>
                </c:pt>
                <c:pt idx="63">
                  <c:v>-2.6703537555513237</c:v>
                </c:pt>
                <c:pt idx="64">
                  <c:v>-2.6703537555513237</c:v>
                </c:pt>
                <c:pt idx="65">
                  <c:v>-2.6703537555513237</c:v>
                </c:pt>
                <c:pt idx="66">
                  <c:v>-2.6703537555513237</c:v>
                </c:pt>
                <c:pt idx="67">
                  <c:v>-2.6703537555513237</c:v>
                </c:pt>
                <c:pt idx="68">
                  <c:v>-2.6703537555513237</c:v>
                </c:pt>
                <c:pt idx="69">
                  <c:v>-2.6703537555513237</c:v>
                </c:pt>
                <c:pt idx="70">
                  <c:v>-2.6703537555513237</c:v>
                </c:pt>
                <c:pt idx="71">
                  <c:v>-2.6703537555513237</c:v>
                </c:pt>
                <c:pt idx="72">
                  <c:v>-2.6703537555513237</c:v>
                </c:pt>
                <c:pt idx="73">
                  <c:v>-2.6703537555513237</c:v>
                </c:pt>
                <c:pt idx="74">
                  <c:v>-2.6703537555513237</c:v>
                </c:pt>
                <c:pt idx="75">
                  <c:v>-2.6703537555513237</c:v>
                </c:pt>
                <c:pt idx="76">
                  <c:v>-2.6703537555513237</c:v>
                </c:pt>
                <c:pt idx="77">
                  <c:v>-2.6703537555513237</c:v>
                </c:pt>
                <c:pt idx="78">
                  <c:v>-2.6703537555513237</c:v>
                </c:pt>
                <c:pt idx="79">
                  <c:v>-2.6703537555513237</c:v>
                </c:pt>
                <c:pt idx="80">
                  <c:v>-2.6703537555513237</c:v>
                </c:pt>
                <c:pt idx="81">
                  <c:v>-2.6703537555513237</c:v>
                </c:pt>
                <c:pt idx="82">
                  <c:v>-2.6703537555513237</c:v>
                </c:pt>
                <c:pt idx="83">
                  <c:v>-2.6703537555513237</c:v>
                </c:pt>
                <c:pt idx="84">
                  <c:v>-2.6703537555513237</c:v>
                </c:pt>
                <c:pt idx="85">
                  <c:v>-2.6703537555513237</c:v>
                </c:pt>
                <c:pt idx="86">
                  <c:v>-2.6703537555513237</c:v>
                </c:pt>
                <c:pt idx="87">
                  <c:v>-2.6703537555513237</c:v>
                </c:pt>
                <c:pt idx="88">
                  <c:v>-2.6703537555513237</c:v>
                </c:pt>
                <c:pt idx="89">
                  <c:v>-2.6703537555513237</c:v>
                </c:pt>
                <c:pt idx="90">
                  <c:v>-2.6703537555513237</c:v>
                </c:pt>
                <c:pt idx="91">
                  <c:v>-2.6703537555513237</c:v>
                </c:pt>
                <c:pt idx="92">
                  <c:v>-2.6703537555513237</c:v>
                </c:pt>
                <c:pt idx="93">
                  <c:v>-2.6703537555513237</c:v>
                </c:pt>
                <c:pt idx="94">
                  <c:v>-2.6703537555513237</c:v>
                </c:pt>
                <c:pt idx="95">
                  <c:v>-2.6703537555513237</c:v>
                </c:pt>
                <c:pt idx="96">
                  <c:v>-2.6703537555513237</c:v>
                </c:pt>
                <c:pt idx="97">
                  <c:v>-2.6703537555513237</c:v>
                </c:pt>
                <c:pt idx="98">
                  <c:v>-2.6703537555513237</c:v>
                </c:pt>
                <c:pt idx="99">
                  <c:v>-2.6703537555513237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'Gantry UI'!$X$2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'Gantry UI'!$Y$2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'Gantry UI'!$Z$2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'Gantry UI'!$AA$2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'Gantry UI'!$AB$2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'Gantry UI'!$AC$2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'Gantry UI'!$AD$2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'Gantry UI'!$AE$2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'Gantry UI'!$AF$2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'Gantry UI'!$AG$2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'Gantry UI'!$AJ$1</c:f>
          <c:strCache>
            <c:ptCount val="1"/>
            <c:pt idx="0">
              <c:v>Stepper Power, 24V, 20T, 20k, 1000g,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'Gantry UI'!$AK$2</c:f>
              <c:strCache>
                <c:ptCount val="1"/>
                <c:pt idx="0">
                  <c:v>Leadshine 42CM06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UI'!$AK$3:$AK$102</c:f>
              <c:numCache>
                <c:formatCode>0.0</c:formatCode>
                <c:ptCount val="100"/>
                <c:pt idx="0">
                  <c:v>0.9</c:v>
                </c:pt>
                <c:pt idx="1">
                  <c:v>1.4332107496463933</c:v>
                </c:pt>
                <c:pt idx="2">
                  <c:v>1.9664214992927866</c:v>
                </c:pt>
                <c:pt idx="3">
                  <c:v>2.49963224893918</c:v>
                </c:pt>
                <c:pt idx="4">
                  <c:v>3.0328429985855729</c:v>
                </c:pt>
                <c:pt idx="5">
                  <c:v>3.5660537482319663</c:v>
                </c:pt>
                <c:pt idx="6">
                  <c:v>4.0992644978783597</c:v>
                </c:pt>
                <c:pt idx="7">
                  <c:v>4.632475247524753</c:v>
                </c:pt>
                <c:pt idx="8">
                  <c:v>5.1656859971711464</c:v>
                </c:pt>
                <c:pt idx="9">
                  <c:v>5.6988967468175398</c:v>
                </c:pt>
                <c:pt idx="10">
                  <c:v>6.2321074964639331</c:v>
                </c:pt>
                <c:pt idx="11">
                  <c:v>6.7653182461103265</c:v>
                </c:pt>
                <c:pt idx="12">
                  <c:v>7.2985289957567199</c:v>
                </c:pt>
                <c:pt idx="13">
                  <c:v>7.8317397454031132</c:v>
                </c:pt>
                <c:pt idx="14">
                  <c:v>8.3649504950495057</c:v>
                </c:pt>
                <c:pt idx="15">
                  <c:v>8.8981612446958991</c:v>
                </c:pt>
                <c:pt idx="16">
                  <c:v>9.4313719943422925</c:v>
                </c:pt>
                <c:pt idx="17">
                  <c:v>9.9645827439886858</c:v>
                </c:pt>
                <c:pt idx="18">
                  <c:v>10.497793493635079</c:v>
                </c:pt>
                <c:pt idx="19">
                  <c:v>11.031004243281473</c:v>
                </c:pt>
                <c:pt idx="20">
                  <c:v>11.564214992927866</c:v>
                </c:pt>
                <c:pt idx="21">
                  <c:v>12.097425742574259</c:v>
                </c:pt>
                <c:pt idx="22">
                  <c:v>12.630636492220653</c:v>
                </c:pt>
                <c:pt idx="23">
                  <c:v>13.163847241867046</c:v>
                </c:pt>
                <c:pt idx="24">
                  <c:v>13.697057991513439</c:v>
                </c:pt>
                <c:pt idx="25">
                  <c:v>14.230268741159833</c:v>
                </c:pt>
                <c:pt idx="26">
                  <c:v>14.763479490806226</c:v>
                </c:pt>
                <c:pt idx="27">
                  <c:v>15.296690240452619</c:v>
                </c:pt>
                <c:pt idx="28">
                  <c:v>15.829900990099011</c:v>
                </c:pt>
                <c:pt idx="29">
                  <c:v>16.363111739745403</c:v>
                </c:pt>
                <c:pt idx="30">
                  <c:v>15.979507409594806</c:v>
                </c:pt>
                <c:pt idx="31">
                  <c:v>14.87329173782447</c:v>
                </c:pt>
                <c:pt idx="32">
                  <c:v>13.778679703375264</c:v>
                </c:pt>
                <c:pt idx="33">
                  <c:v>12.69368171241366</c:v>
                </c:pt>
                <c:pt idx="34">
                  <c:v>11.616627476185652</c:v>
                </c:pt>
                <c:pt idx="35">
                  <c:v>10.546111054383665</c:v>
                </c:pt>
                <c:pt idx="36">
                  <c:v>9.480946235153894</c:v>
                </c:pt>
                <c:pt idx="37">
                  <c:v>8.4201301312545667</c:v>
                </c:pt>
                <c:pt idx="38">
                  <c:v>7.3628133432155058</c:v>
                </c:pt>
                <c:pt idx="39">
                  <c:v>6.3082753989871039</c:v>
                </c:pt>
                <c:pt idx="40">
                  <c:v>5.2559044542950373</c:v>
                </c:pt>
                <c:pt idx="41">
                  <c:v>4.2051804497167424</c:v>
                </c:pt>
                <c:pt idx="42">
                  <c:v>3.1556610847746689</c:v>
                </c:pt>
                <c:pt idx="43">
                  <c:v>2.1069700974991541</c:v>
                </c:pt>
                <c:pt idx="44">
                  <c:v>1.0587874384429601</c:v>
                </c:pt>
                <c:pt idx="45">
                  <c:v>1.0841007400336337E-2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'Gantry UI'!$AL$2</c:f>
              <c:strCache>
                <c:ptCount val="1"/>
                <c:pt idx="0">
                  <c:v>Yisheng 42CM06-01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UI'!$AL$3:$AL$102</c:f>
              <c:numCache>
                <c:formatCode>0.0</c:formatCode>
                <c:ptCount val="100"/>
                <c:pt idx="0">
                  <c:v>1.9</c:v>
                </c:pt>
                <c:pt idx="1">
                  <c:v>2.5801157520999913</c:v>
                </c:pt>
                <c:pt idx="2">
                  <c:v>3.2602315041999828</c:v>
                </c:pt>
                <c:pt idx="3">
                  <c:v>3.9403472562999742</c:v>
                </c:pt>
                <c:pt idx="4">
                  <c:v>4.620463008399966</c:v>
                </c:pt>
                <c:pt idx="5">
                  <c:v>5.300578760499957</c:v>
                </c:pt>
                <c:pt idx="6">
                  <c:v>5.980694512599948</c:v>
                </c:pt>
                <c:pt idx="7">
                  <c:v>6.6608102646999399</c:v>
                </c:pt>
                <c:pt idx="8">
                  <c:v>7.3409260167999317</c:v>
                </c:pt>
                <c:pt idx="9">
                  <c:v>8.0210417688999236</c:v>
                </c:pt>
                <c:pt idx="10">
                  <c:v>8.7011575209999137</c:v>
                </c:pt>
                <c:pt idx="11">
                  <c:v>9.3812732730999056</c:v>
                </c:pt>
                <c:pt idx="12">
                  <c:v>10.061389025199897</c:v>
                </c:pt>
                <c:pt idx="13">
                  <c:v>10.741504777299889</c:v>
                </c:pt>
                <c:pt idx="14">
                  <c:v>11.421620529399881</c:v>
                </c:pt>
                <c:pt idx="15">
                  <c:v>12.101736281499871</c:v>
                </c:pt>
                <c:pt idx="16">
                  <c:v>12.781852033599863</c:v>
                </c:pt>
                <c:pt idx="17">
                  <c:v>13.287522659682924</c:v>
                </c:pt>
                <c:pt idx="18">
                  <c:v>12.402278262121039</c:v>
                </c:pt>
                <c:pt idx="19">
                  <c:v>11.562573797986813</c:v>
                </c:pt>
                <c:pt idx="20">
                  <c:v>10.758486310647337</c:v>
                </c:pt>
                <c:pt idx="21">
                  <c:v>9.9823815638114883</c:v>
                </c:pt>
                <c:pt idx="22">
                  <c:v>9.2283346322231612</c:v>
                </c:pt>
                <c:pt idx="23">
                  <c:v>8.4917111489651997</c:v>
                </c:pt>
                <c:pt idx="24">
                  <c:v>7.7688608422019492</c:v>
                </c:pt>
                <c:pt idx="25">
                  <c:v>7.0568906603753012</c:v>
                </c:pt>
                <c:pt idx="26">
                  <c:v>6.3534950366160485</c:v>
                </c:pt>
                <c:pt idx="27">
                  <c:v>5.6568276630005103</c:v>
                </c:pt>
                <c:pt idx="28">
                  <c:v>4.965403751401432</c:v>
                </c:pt>
                <c:pt idx="29">
                  <c:v>4.2780249125178127</c:v>
                </c:pt>
                <c:pt idx="30">
                  <c:v>3.5937209737213096</c:v>
                </c:pt>
                <c:pt idx="31">
                  <c:v>2.9117045937191905</c:v>
                </c:pt>
                <c:pt idx="32">
                  <c:v>2.2313356239239908</c:v>
                </c:pt>
                <c:pt idx="33">
                  <c:v>1.5520929501058938</c:v>
                </c:pt>
                <c:pt idx="34">
                  <c:v>0.87355211593684501</c:v>
                </c:pt>
                <c:pt idx="35">
                  <c:v>0.19536744557038468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'Gantry UI'!$AM$2</c:f>
              <c:strCache>
                <c:ptCount val="1"/>
                <c:pt idx="0">
                  <c:v>HANPOSE 42HS8402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UI'!$AM$3:$AM$102</c:f>
              <c:numCache>
                <c:formatCode>0.0</c:formatCode>
                <c:ptCount val="100"/>
                <c:pt idx="0">
                  <c:v>3.2</c:v>
                </c:pt>
                <c:pt idx="1">
                  <c:v>4.0886845827439888</c:v>
                </c:pt>
                <c:pt idx="2">
                  <c:v>4.9773691654879775</c:v>
                </c:pt>
                <c:pt idx="3">
                  <c:v>5.8660537482319661</c:v>
                </c:pt>
                <c:pt idx="4">
                  <c:v>6.7547383309759557</c:v>
                </c:pt>
                <c:pt idx="5">
                  <c:v>7.6434229137199443</c:v>
                </c:pt>
                <c:pt idx="6">
                  <c:v>8.532107496463933</c:v>
                </c:pt>
                <c:pt idx="7">
                  <c:v>9.4207920792079207</c:v>
                </c:pt>
                <c:pt idx="8">
                  <c:v>10.30947666195191</c:v>
                </c:pt>
                <c:pt idx="9">
                  <c:v>11.1981612446959</c:v>
                </c:pt>
                <c:pt idx="10">
                  <c:v>12.086845827439888</c:v>
                </c:pt>
                <c:pt idx="11">
                  <c:v>12.975530410183875</c:v>
                </c:pt>
                <c:pt idx="12">
                  <c:v>13.574389716294498</c:v>
                </c:pt>
                <c:pt idx="13">
                  <c:v>12.345445563147813</c:v>
                </c:pt>
                <c:pt idx="14">
                  <c:v>11.229743508770802</c:v>
                </c:pt>
                <c:pt idx="15">
                  <c:v>10.197326805138037</c:v>
                </c:pt>
                <c:pt idx="16">
                  <c:v>9.2265926585924039</c:v>
                </c:pt>
                <c:pt idx="17">
                  <c:v>8.3017524374464742</c:v>
                </c:pt>
                <c:pt idx="18">
                  <c:v>7.4111317364109182</c:v>
                </c:pt>
                <c:pt idx="19">
                  <c:v>6.5460107602945214</c:v>
                </c:pt>
                <c:pt idx="20">
                  <c:v>5.6998197051309605</c:v>
                </c:pt>
                <c:pt idx="21">
                  <c:v>4.8675718329292126</c:v>
                </c:pt>
                <c:pt idx="22">
                  <c:v>4.0454584448061457</c:v>
                </c:pt>
                <c:pt idx="23">
                  <c:v>3.2305558544216617</c:v>
                </c:pt>
                <c:pt idx="24">
                  <c:v>2.4206109487543999</c:v>
                </c:pt>
                <c:pt idx="25">
                  <c:v>1.6138826112448974</c:v>
                </c:pt>
                <c:pt idx="26">
                  <c:v>0.8090233292239597</c:v>
                </c:pt>
                <c:pt idx="27">
                  <c:v>4.990026106719384E-3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'Gantry UI'!$AN$2</c:f>
              <c:strCache>
                <c:ptCount val="1"/>
                <c:pt idx="0">
                  <c:v>HANPOSE 42HS48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UI'!$AN$3:$AN$102</c:f>
              <c:numCache>
                <c:formatCode>0.0</c:formatCode>
                <c:ptCount val="100"/>
                <c:pt idx="0">
                  <c:v>1.8</c:v>
                </c:pt>
                <c:pt idx="1">
                  <c:v>2.4418277542039917</c:v>
                </c:pt>
                <c:pt idx="2">
                  <c:v>3.0836555084079835</c:v>
                </c:pt>
                <c:pt idx="3">
                  <c:v>3.7254832626119754</c:v>
                </c:pt>
                <c:pt idx="4">
                  <c:v>4.3673110168159672</c:v>
                </c:pt>
                <c:pt idx="5">
                  <c:v>5.0091387710199591</c:v>
                </c:pt>
                <c:pt idx="6">
                  <c:v>5.6509665252239509</c:v>
                </c:pt>
                <c:pt idx="7">
                  <c:v>6.2927942794279428</c:v>
                </c:pt>
                <c:pt idx="8">
                  <c:v>6.9346220336319346</c:v>
                </c:pt>
                <c:pt idx="9">
                  <c:v>7.5764497878359265</c:v>
                </c:pt>
                <c:pt idx="10">
                  <c:v>8.2182775420399192</c:v>
                </c:pt>
                <c:pt idx="11">
                  <c:v>8.8601052962439102</c:v>
                </c:pt>
                <c:pt idx="12">
                  <c:v>9.5019330504479029</c:v>
                </c:pt>
                <c:pt idx="13">
                  <c:v>10.143760804651896</c:v>
                </c:pt>
                <c:pt idx="14">
                  <c:v>10.785588558855887</c:v>
                </c:pt>
                <c:pt idx="15">
                  <c:v>11.427416313059879</c:v>
                </c:pt>
                <c:pt idx="16">
                  <c:v>12.06924406726387</c:v>
                </c:pt>
                <c:pt idx="17">
                  <c:v>12.711071821467863</c:v>
                </c:pt>
                <c:pt idx="18">
                  <c:v>13.352899575671854</c:v>
                </c:pt>
                <c:pt idx="19">
                  <c:v>13.994727329875847</c:v>
                </c:pt>
                <c:pt idx="20">
                  <c:v>13.686698847497617</c:v>
                </c:pt>
                <c:pt idx="21">
                  <c:v>12.783222478205888</c:v>
                </c:pt>
                <c:pt idx="22">
                  <c:v>11.912287408461518</c:v>
                </c:pt>
                <c:pt idx="23">
                  <c:v>11.067399066839744</c:v>
                </c:pt>
                <c:pt idx="24">
                  <c:v>10.24339918120396</c:v>
                </c:pt>
                <c:pt idx="25">
                  <c:v>9.4361654208084875</c:v>
                </c:pt>
                <c:pt idx="26">
                  <c:v>8.6423850096197299</c:v>
                </c:pt>
                <c:pt idx="27">
                  <c:v>7.8593824896457933</c:v>
                </c:pt>
                <c:pt idx="28">
                  <c:v>7.0849875428097482</c:v>
                </c:pt>
                <c:pt idx="29">
                  <c:v>6.3174327371356034</c:v>
                </c:pt>
                <c:pt idx="30">
                  <c:v>5.5552738303946194</c:v>
                </c:pt>
                <c:pt idx="31">
                  <c:v>4.7973272222644852</c:v>
                </c:pt>
                <c:pt idx="32">
                  <c:v>4.042620546362893</c:v>
                </c:pt>
                <c:pt idx="33">
                  <c:v>3.2903534052372083</c:v>
                </c:pt>
                <c:pt idx="34">
                  <c:v>2.5398659893391597</c:v>
                </c:pt>
                <c:pt idx="35">
                  <c:v>1.7906138640966387</c:v>
                </c:pt>
                <c:pt idx="36">
                  <c:v>1.0421476122408304</c:v>
                </c:pt>
                <c:pt idx="37">
                  <c:v>0.29409632004128994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'Gantry UI'!$AO$2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UI'!$AO$3:$AO$102</c:f>
              <c:numCache>
                <c:formatCode>0.0</c:formatCode>
                <c:ptCount val="100"/>
                <c:pt idx="0">
                  <c:v>1.65</c:v>
                </c:pt>
                <c:pt idx="1">
                  <c:v>2.1657544453424933</c:v>
                </c:pt>
                <c:pt idx="2">
                  <c:v>2.6815088906849871</c:v>
                </c:pt>
                <c:pt idx="3">
                  <c:v>3.1972633360274805</c:v>
                </c:pt>
                <c:pt idx="4">
                  <c:v>3.7130177813699738</c:v>
                </c:pt>
                <c:pt idx="5">
                  <c:v>4.2287722267124677</c:v>
                </c:pt>
                <c:pt idx="6">
                  <c:v>4.7445266720549615</c:v>
                </c:pt>
                <c:pt idx="7">
                  <c:v>5.2602811173974544</c:v>
                </c:pt>
                <c:pt idx="8">
                  <c:v>5.7760355627399473</c:v>
                </c:pt>
                <c:pt idx="9">
                  <c:v>6.291790008082442</c:v>
                </c:pt>
                <c:pt idx="10">
                  <c:v>6.807544453424935</c:v>
                </c:pt>
                <c:pt idx="11">
                  <c:v>7.3232988987674279</c:v>
                </c:pt>
                <c:pt idx="12">
                  <c:v>7.8390533441099226</c:v>
                </c:pt>
                <c:pt idx="13">
                  <c:v>8.3548077894524155</c:v>
                </c:pt>
                <c:pt idx="14">
                  <c:v>8.8705622347949085</c:v>
                </c:pt>
                <c:pt idx="15">
                  <c:v>9.3863166801374032</c:v>
                </c:pt>
                <c:pt idx="16">
                  <c:v>9.9020711254798961</c:v>
                </c:pt>
                <c:pt idx="17">
                  <c:v>9.4323424194815928</c:v>
                </c:pt>
                <c:pt idx="18">
                  <c:v>8.9835288723520534</c:v>
                </c:pt>
                <c:pt idx="19">
                  <c:v>8.5650031211646471</c:v>
                </c:pt>
                <c:pt idx="20">
                  <c:v>8.1704834670562203</c:v>
                </c:pt>
                <c:pt idx="21">
                  <c:v>7.795142457959904</c:v>
                </c:pt>
                <c:pt idx="22">
                  <c:v>7.4352309454896011</c:v>
                </c:pt>
                <c:pt idx="23">
                  <c:v>7.087809347668947</c:v>
                </c:pt>
                <c:pt idx="24">
                  <c:v>6.7505528171837721</c:v>
                </c:pt>
                <c:pt idx="25">
                  <c:v>6.4216081591504963</c:v>
                </c:pt>
                <c:pt idx="26">
                  <c:v>6.0994875051648689</c:v>
                </c:pt>
                <c:pt idx="27">
                  <c:v>5.7829884386806185</c:v>
                </c:pt>
                <c:pt idx="28">
                  <c:v>5.4711333871136123</c:v>
                </c:pt>
                <c:pt idx="29">
                  <c:v>5.1631232050604616</c:v>
                </c:pt>
                <c:pt idx="30">
                  <c:v>4.8583013188755118</c:v>
                </c:pt>
                <c:pt idx="31">
                  <c:v>4.5561258072351256</c:v>
                </c:pt>
                <c:pt idx="32">
                  <c:v>4.2561474986330694</c:v>
                </c:pt>
                <c:pt idx="33">
                  <c:v>3.9579926691592275</c:v>
                </c:pt>
                <c:pt idx="34">
                  <c:v>3.6613492851152847</c:v>
                </c:pt>
                <c:pt idx="35">
                  <c:v>3.3659559973102984</c:v>
                </c:pt>
                <c:pt idx="36">
                  <c:v>3.0715932861359558</c:v>
                </c:pt>
                <c:pt idx="37">
                  <c:v>2.7780762986919436</c:v>
                </c:pt>
                <c:pt idx="38">
                  <c:v>2.4852490252401958</c:v>
                </c:pt>
                <c:pt idx="39">
                  <c:v>2.1929795419323956</c:v>
                </c:pt>
                <c:pt idx="40">
                  <c:v>1.9011561070680962</c:v>
                </c:pt>
                <c:pt idx="41">
                  <c:v>1.609683944123161</c:v>
                </c:pt>
                <c:pt idx="42">
                  <c:v>1.3184825800781466</c:v>
                </c:pt>
                <c:pt idx="43">
                  <c:v>1.0274836348309311</c:v>
                </c:pt>
                <c:pt idx="44">
                  <c:v>0.73662897865307697</c:v>
                </c:pt>
                <c:pt idx="45">
                  <c:v>0.44586919119509177</c:v>
                </c:pt>
                <c:pt idx="46">
                  <c:v>0.15516226854412715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'Gantry UI'!$AP$2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UI'!$AP$3:$AP$102</c:f>
              <c:numCache>
                <c:formatCode>0.0</c:formatCode>
                <c:ptCount val="100"/>
                <c:pt idx="0">
                  <c:v>1.6</c:v>
                </c:pt>
                <c:pt idx="1">
                  <c:v>2.2554048797736916</c:v>
                </c:pt>
                <c:pt idx="2">
                  <c:v>2.9108097595473836</c:v>
                </c:pt>
                <c:pt idx="3">
                  <c:v>3.5662146393210752</c:v>
                </c:pt>
                <c:pt idx="4">
                  <c:v>4.2216195190947676</c:v>
                </c:pt>
                <c:pt idx="5">
                  <c:v>4.8770243988684587</c:v>
                </c:pt>
                <c:pt idx="6">
                  <c:v>5.5324292786421498</c:v>
                </c:pt>
                <c:pt idx="7">
                  <c:v>6.1878341584158427</c:v>
                </c:pt>
                <c:pt idx="8">
                  <c:v>6.8432390381895338</c:v>
                </c:pt>
                <c:pt idx="9">
                  <c:v>7.4986439179632249</c:v>
                </c:pt>
                <c:pt idx="10">
                  <c:v>8.1540487977369178</c:v>
                </c:pt>
                <c:pt idx="11">
                  <c:v>8.8094536775106089</c:v>
                </c:pt>
                <c:pt idx="12">
                  <c:v>9.4648585572843</c:v>
                </c:pt>
                <c:pt idx="13">
                  <c:v>10.120263437057993</c:v>
                </c:pt>
                <c:pt idx="14">
                  <c:v>10.775668316831684</c:v>
                </c:pt>
                <c:pt idx="15">
                  <c:v>11.431073196605375</c:v>
                </c:pt>
                <c:pt idx="16">
                  <c:v>12.086478076379068</c:v>
                </c:pt>
                <c:pt idx="17">
                  <c:v>12.741882956152759</c:v>
                </c:pt>
                <c:pt idx="18">
                  <c:v>13.39728783592645</c:v>
                </c:pt>
                <c:pt idx="19">
                  <c:v>14.052692715700143</c:v>
                </c:pt>
                <c:pt idx="20">
                  <c:v>14.512182786487534</c:v>
                </c:pt>
                <c:pt idx="21">
                  <c:v>13.524539413327554</c:v>
                </c:pt>
                <c:pt idx="22">
                  <c:v>12.569813959722067</c:v>
                </c:pt>
                <c:pt idx="23">
                  <c:v>11.641320631251117</c:v>
                </c:pt>
                <c:pt idx="24">
                  <c:v>10.733764054172733</c:v>
                </c:pt>
                <c:pt idx="25">
                  <c:v>9.8429240727739611</c:v>
                </c:pt>
                <c:pt idx="26">
                  <c:v>8.9654187588184158</c:v>
                </c:pt>
                <c:pt idx="27">
                  <c:v>8.0985245307531883</c:v>
                </c:pt>
                <c:pt idx="28">
                  <c:v>7.240038419875205</c:v>
                </c:pt>
                <c:pt idx="29">
                  <c:v>6.38817174926701</c:v>
                </c:pt>
                <c:pt idx="30">
                  <c:v>5.5414674408296394</c:v>
                </c:pt>
                <c:pt idx="31">
                  <c:v>4.6987352474202906</c:v>
                </c:pt>
                <c:pt idx="32">
                  <c:v>3.8590006925005205</c:v>
                </c:pt>
                <c:pt idx="33">
                  <c:v>3.0214645705469216</c:v>
                </c:pt>
                <c:pt idx="34">
                  <c:v>2.1854706409208089</c:v>
                </c:pt>
                <c:pt idx="35">
                  <c:v>1.3504797203748891</c:v>
                </c:pt>
                <c:pt idx="36">
                  <c:v>0.51604880342921389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'Gantry UI'!$AQ$2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'Gantry UI'!$AR$2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'Gantry UI'!$AS$2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'Gantry UI'!$AT$2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'Gantry UI'!$AU$2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'Gantry UI'!$AV$2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'Gantry UI'!$AW$2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'Gantry UI'!$AX$2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'Gantry UI'!$AY$2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'Gantry UI'!$AZ$2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'Acc Calculator'!$P$2</c:f>
              <c:strCache>
                <c:ptCount val="1"/>
                <c:pt idx="0">
                  <c:v>瞬时速度1 （mm/s）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'Acc Calculator'!$P$3:$P$523</c:f>
              <c:numCache>
                <c:formatCode>General</c:formatCode>
                <c:ptCount val="521"/>
                <c:pt idx="0">
                  <c:v>0</c:v>
                </c:pt>
                <c:pt idx="1">
                  <c:v>141.42135623730951</c:v>
                </c:pt>
                <c:pt idx="2">
                  <c:v>282.84271247461902</c:v>
                </c:pt>
                <c:pt idx="3">
                  <c:v>424.26406871192853</c:v>
                </c:pt>
                <c:pt idx="4">
                  <c:v>565.68542494923804</c:v>
                </c:pt>
                <c:pt idx="5">
                  <c:v>707.10678118654755</c:v>
                </c:pt>
                <c:pt idx="6">
                  <c:v>848.52813742385706</c:v>
                </c:pt>
                <c:pt idx="7">
                  <c:v>989.94949366116657</c:v>
                </c:pt>
                <c:pt idx="8">
                  <c:v>1131.3708498984761</c:v>
                </c:pt>
                <c:pt idx="9">
                  <c:v>1272.7922061357856</c:v>
                </c:pt>
                <c:pt idx="10">
                  <c:v>1414.2135623730951</c:v>
                </c:pt>
                <c:pt idx="11">
                  <c:v>1555.6349186104046</c:v>
                </c:pt>
                <c:pt idx="12">
                  <c:v>1697.0562748477141</c:v>
                </c:pt>
                <c:pt idx="13">
                  <c:v>1838.4776310850236</c:v>
                </c:pt>
                <c:pt idx="14">
                  <c:v>1979.8989873223331</c:v>
                </c:pt>
                <c:pt idx="15">
                  <c:v>2121.3203435596424</c:v>
                </c:pt>
                <c:pt idx="16">
                  <c:v>2262.7416997969522</c:v>
                </c:pt>
                <c:pt idx="17">
                  <c:v>2404.1630560342619</c:v>
                </c:pt>
                <c:pt idx="18">
                  <c:v>2545.5844122715716</c:v>
                </c:pt>
                <c:pt idx="19">
                  <c:v>2687.0057685088814</c:v>
                </c:pt>
                <c:pt idx="20">
                  <c:v>2828.4271247461911</c:v>
                </c:pt>
                <c:pt idx="21">
                  <c:v>2969.8484809835008</c:v>
                </c:pt>
                <c:pt idx="22">
                  <c:v>3111.2698372208106</c:v>
                </c:pt>
                <c:pt idx="23">
                  <c:v>3252.6911934581203</c:v>
                </c:pt>
                <c:pt idx="24">
                  <c:v>3394.1125496954301</c:v>
                </c:pt>
                <c:pt idx="25">
                  <c:v>3535.5339059327398</c:v>
                </c:pt>
                <c:pt idx="26">
                  <c:v>3676.9552621700495</c:v>
                </c:pt>
                <c:pt idx="27">
                  <c:v>3818.3766184073593</c:v>
                </c:pt>
                <c:pt idx="28">
                  <c:v>3959.797974644669</c:v>
                </c:pt>
                <c:pt idx="29">
                  <c:v>4101.2193308819787</c:v>
                </c:pt>
                <c:pt idx="30">
                  <c:v>4242.6406871192885</c:v>
                </c:pt>
                <c:pt idx="31">
                  <c:v>4384.0620433565982</c:v>
                </c:pt>
                <c:pt idx="32">
                  <c:v>4525.483399593908</c:v>
                </c:pt>
                <c:pt idx="33">
                  <c:v>4666.9047558312177</c:v>
                </c:pt>
                <c:pt idx="34">
                  <c:v>4808.3261120685274</c:v>
                </c:pt>
                <c:pt idx="35">
                  <c:v>4949.7474683058372</c:v>
                </c:pt>
                <c:pt idx="36">
                  <c:v>5091.1688245431469</c:v>
                </c:pt>
                <c:pt idx="37">
                  <c:v>5232.5901807804566</c:v>
                </c:pt>
                <c:pt idx="38">
                  <c:v>5374.0115370177664</c:v>
                </c:pt>
                <c:pt idx="39">
                  <c:v>5515.4328932550761</c:v>
                </c:pt>
                <c:pt idx="40">
                  <c:v>5656.8542494923859</c:v>
                </c:pt>
                <c:pt idx="41">
                  <c:v>5798.2756057296956</c:v>
                </c:pt>
                <c:pt idx="42">
                  <c:v>5939.6969619670053</c:v>
                </c:pt>
                <c:pt idx="43">
                  <c:v>6081.1183182043151</c:v>
                </c:pt>
                <c:pt idx="44">
                  <c:v>6222.5396744416248</c:v>
                </c:pt>
                <c:pt idx="45">
                  <c:v>6363.9610306789345</c:v>
                </c:pt>
                <c:pt idx="46">
                  <c:v>6505.3823869162443</c:v>
                </c:pt>
                <c:pt idx="47">
                  <c:v>6646.803743153554</c:v>
                </c:pt>
                <c:pt idx="48">
                  <c:v>6788.2250993908638</c:v>
                </c:pt>
                <c:pt idx="49">
                  <c:v>6929.6464556281735</c:v>
                </c:pt>
                <c:pt idx="50">
                  <c:v>7071.0678118654832</c:v>
                </c:pt>
                <c:pt idx="51">
                  <c:v>7212.489168102793</c:v>
                </c:pt>
                <c:pt idx="52">
                  <c:v>7353.9105243401027</c:v>
                </c:pt>
                <c:pt idx="53">
                  <c:v>7495.3318805774124</c:v>
                </c:pt>
                <c:pt idx="54">
                  <c:v>7636.7532368147222</c:v>
                </c:pt>
                <c:pt idx="55">
                  <c:v>7778.1745930520319</c:v>
                </c:pt>
                <c:pt idx="56">
                  <c:v>7919.5959492893417</c:v>
                </c:pt>
                <c:pt idx="57">
                  <c:v>8061.0173055266514</c:v>
                </c:pt>
                <c:pt idx="58">
                  <c:v>8202.4386617639611</c:v>
                </c:pt>
                <c:pt idx="59">
                  <c:v>8343.8600180012709</c:v>
                </c:pt>
                <c:pt idx="60">
                  <c:v>8485.2813742385806</c:v>
                </c:pt>
                <c:pt idx="61">
                  <c:v>8626.7027304758903</c:v>
                </c:pt>
                <c:pt idx="62">
                  <c:v>8768.1240867132001</c:v>
                </c:pt>
                <c:pt idx="63">
                  <c:v>8909.5454429505098</c:v>
                </c:pt>
                <c:pt idx="64">
                  <c:v>9050.9667991878196</c:v>
                </c:pt>
                <c:pt idx="65">
                  <c:v>9192.3881554251293</c:v>
                </c:pt>
                <c:pt idx="66">
                  <c:v>9333.809511662439</c:v>
                </c:pt>
                <c:pt idx="67">
                  <c:v>9475.2308678997488</c:v>
                </c:pt>
                <c:pt idx="68">
                  <c:v>9616.6522241370585</c:v>
                </c:pt>
                <c:pt idx="69">
                  <c:v>9758.0735803743682</c:v>
                </c:pt>
                <c:pt idx="70">
                  <c:v>9899.494936611678</c:v>
                </c:pt>
                <c:pt idx="71">
                  <c:v>10040.916292848988</c:v>
                </c:pt>
                <c:pt idx="72">
                  <c:v>10182.337649086297</c:v>
                </c:pt>
                <c:pt idx="73">
                  <c:v>10323.759005323607</c:v>
                </c:pt>
                <c:pt idx="74">
                  <c:v>10465.180361560917</c:v>
                </c:pt>
                <c:pt idx="75">
                  <c:v>10606.601717798227</c:v>
                </c:pt>
                <c:pt idx="76">
                  <c:v>10748.023074035536</c:v>
                </c:pt>
                <c:pt idx="77">
                  <c:v>10889.444430272846</c:v>
                </c:pt>
                <c:pt idx="78">
                  <c:v>11030.865786510156</c:v>
                </c:pt>
                <c:pt idx="79">
                  <c:v>11172.287142747466</c:v>
                </c:pt>
                <c:pt idx="80">
                  <c:v>11313.708498984775</c:v>
                </c:pt>
                <c:pt idx="81">
                  <c:v>11455.129855222085</c:v>
                </c:pt>
                <c:pt idx="82">
                  <c:v>11596.551211459395</c:v>
                </c:pt>
                <c:pt idx="83">
                  <c:v>11737.972567696705</c:v>
                </c:pt>
                <c:pt idx="84">
                  <c:v>11879.393923934014</c:v>
                </c:pt>
                <c:pt idx="85">
                  <c:v>12020.815280171324</c:v>
                </c:pt>
                <c:pt idx="86">
                  <c:v>12162.236636408634</c:v>
                </c:pt>
                <c:pt idx="87">
                  <c:v>12303.657992645944</c:v>
                </c:pt>
                <c:pt idx="88">
                  <c:v>12445.079348883253</c:v>
                </c:pt>
                <c:pt idx="89">
                  <c:v>12586.500705120563</c:v>
                </c:pt>
                <c:pt idx="90">
                  <c:v>12727.922061357873</c:v>
                </c:pt>
                <c:pt idx="91">
                  <c:v>12869.343417595182</c:v>
                </c:pt>
                <c:pt idx="92">
                  <c:v>13010.764773832492</c:v>
                </c:pt>
                <c:pt idx="93">
                  <c:v>13152.186130069802</c:v>
                </c:pt>
                <c:pt idx="94">
                  <c:v>13293.607486307112</c:v>
                </c:pt>
                <c:pt idx="95">
                  <c:v>13435.028842544421</c:v>
                </c:pt>
                <c:pt idx="96">
                  <c:v>13576.450198781731</c:v>
                </c:pt>
                <c:pt idx="97">
                  <c:v>13717.871555019041</c:v>
                </c:pt>
                <c:pt idx="98">
                  <c:v>13859.292911256351</c:v>
                </c:pt>
                <c:pt idx="99">
                  <c:v>14000.71426749366</c:v>
                </c:pt>
                <c:pt idx="100">
                  <c:v>14142.13562373097</c:v>
                </c:pt>
                <c:pt idx="101">
                  <c:v>14283.55697996828</c:v>
                </c:pt>
                <c:pt idx="102">
                  <c:v>14424.97833620559</c:v>
                </c:pt>
                <c:pt idx="103">
                  <c:v>14566.399692442899</c:v>
                </c:pt>
                <c:pt idx="104">
                  <c:v>14707.821048680209</c:v>
                </c:pt>
                <c:pt idx="105">
                  <c:v>14849.242404917519</c:v>
                </c:pt>
                <c:pt idx="106">
                  <c:v>14990.663761154829</c:v>
                </c:pt>
                <c:pt idx="107">
                  <c:v>15132.085117392138</c:v>
                </c:pt>
                <c:pt idx="108">
                  <c:v>15273.506473629448</c:v>
                </c:pt>
                <c:pt idx="109">
                  <c:v>15414.927829866758</c:v>
                </c:pt>
                <c:pt idx="110">
                  <c:v>15556.349186104067</c:v>
                </c:pt>
                <c:pt idx="111">
                  <c:v>15697.770542341377</c:v>
                </c:pt>
                <c:pt idx="112">
                  <c:v>15839.191898578687</c:v>
                </c:pt>
                <c:pt idx="113">
                  <c:v>15980.613254815997</c:v>
                </c:pt>
                <c:pt idx="114">
                  <c:v>16122.034611053306</c:v>
                </c:pt>
                <c:pt idx="115">
                  <c:v>16263.455967290616</c:v>
                </c:pt>
                <c:pt idx="116">
                  <c:v>16404.877323527926</c:v>
                </c:pt>
                <c:pt idx="117">
                  <c:v>16546.298679765234</c:v>
                </c:pt>
                <c:pt idx="118">
                  <c:v>16687.720036002542</c:v>
                </c:pt>
                <c:pt idx="119">
                  <c:v>16829.14139223985</c:v>
                </c:pt>
                <c:pt idx="120">
                  <c:v>16970.562748477158</c:v>
                </c:pt>
                <c:pt idx="121">
                  <c:v>17111.984104714466</c:v>
                </c:pt>
                <c:pt idx="122">
                  <c:v>17253.405460951773</c:v>
                </c:pt>
                <c:pt idx="123">
                  <c:v>17394.826817189081</c:v>
                </c:pt>
                <c:pt idx="124">
                  <c:v>17536.248173426389</c:v>
                </c:pt>
                <c:pt idx="125">
                  <c:v>17677.669529663697</c:v>
                </c:pt>
                <c:pt idx="126">
                  <c:v>17536.248173426389</c:v>
                </c:pt>
                <c:pt idx="127">
                  <c:v>17394.826817189081</c:v>
                </c:pt>
                <c:pt idx="128">
                  <c:v>17253.405460951773</c:v>
                </c:pt>
                <c:pt idx="129">
                  <c:v>17111.984104714466</c:v>
                </c:pt>
                <c:pt idx="130">
                  <c:v>16970.562748477158</c:v>
                </c:pt>
                <c:pt idx="131">
                  <c:v>16829.14139223985</c:v>
                </c:pt>
                <c:pt idx="132">
                  <c:v>16687.720036002542</c:v>
                </c:pt>
                <c:pt idx="133">
                  <c:v>16546.298679765234</c:v>
                </c:pt>
                <c:pt idx="134">
                  <c:v>16404.877323527926</c:v>
                </c:pt>
                <c:pt idx="135">
                  <c:v>16263.455967290616</c:v>
                </c:pt>
                <c:pt idx="136">
                  <c:v>16122.034611053306</c:v>
                </c:pt>
                <c:pt idx="137">
                  <c:v>15980.613254815997</c:v>
                </c:pt>
                <c:pt idx="138">
                  <c:v>15839.191898578687</c:v>
                </c:pt>
                <c:pt idx="139">
                  <c:v>15697.770542341377</c:v>
                </c:pt>
                <c:pt idx="140">
                  <c:v>15556.349186104067</c:v>
                </c:pt>
                <c:pt idx="141">
                  <c:v>15414.927829866758</c:v>
                </c:pt>
                <c:pt idx="142">
                  <c:v>15273.506473629448</c:v>
                </c:pt>
                <c:pt idx="143">
                  <c:v>15132.085117392138</c:v>
                </c:pt>
                <c:pt idx="144">
                  <c:v>14990.663761154829</c:v>
                </c:pt>
                <c:pt idx="145">
                  <c:v>14849.242404917519</c:v>
                </c:pt>
                <c:pt idx="146">
                  <c:v>14707.821048680209</c:v>
                </c:pt>
                <c:pt idx="147">
                  <c:v>14566.399692442899</c:v>
                </c:pt>
                <c:pt idx="148">
                  <c:v>14424.97833620559</c:v>
                </c:pt>
                <c:pt idx="149">
                  <c:v>14283.55697996828</c:v>
                </c:pt>
                <c:pt idx="150">
                  <c:v>14142.13562373097</c:v>
                </c:pt>
                <c:pt idx="151">
                  <c:v>14000.71426749366</c:v>
                </c:pt>
                <c:pt idx="152">
                  <c:v>13859.292911256351</c:v>
                </c:pt>
                <c:pt idx="153">
                  <c:v>13717.871555019041</c:v>
                </c:pt>
                <c:pt idx="154">
                  <c:v>13576.450198781731</c:v>
                </c:pt>
                <c:pt idx="155">
                  <c:v>13435.028842544421</c:v>
                </c:pt>
                <c:pt idx="156">
                  <c:v>13293.607486307112</c:v>
                </c:pt>
                <c:pt idx="157">
                  <c:v>13152.186130069802</c:v>
                </c:pt>
                <c:pt idx="158">
                  <c:v>13010.764773832492</c:v>
                </c:pt>
                <c:pt idx="159">
                  <c:v>12869.343417595182</c:v>
                </c:pt>
                <c:pt idx="160">
                  <c:v>12727.922061357873</c:v>
                </c:pt>
                <c:pt idx="161">
                  <c:v>12586.500705120563</c:v>
                </c:pt>
                <c:pt idx="162">
                  <c:v>12445.079348883253</c:v>
                </c:pt>
                <c:pt idx="163">
                  <c:v>12303.657992645944</c:v>
                </c:pt>
                <c:pt idx="164">
                  <c:v>12162.236636408634</c:v>
                </c:pt>
                <c:pt idx="165">
                  <c:v>12020.815280171324</c:v>
                </c:pt>
                <c:pt idx="166">
                  <c:v>11879.393923934014</c:v>
                </c:pt>
                <c:pt idx="167">
                  <c:v>11737.972567696705</c:v>
                </c:pt>
                <c:pt idx="168">
                  <c:v>11596.551211459395</c:v>
                </c:pt>
                <c:pt idx="169">
                  <c:v>11455.129855222085</c:v>
                </c:pt>
                <c:pt idx="170">
                  <c:v>11313.708498984775</c:v>
                </c:pt>
                <c:pt idx="171">
                  <c:v>11172.287142747466</c:v>
                </c:pt>
                <c:pt idx="172">
                  <c:v>11030.865786510156</c:v>
                </c:pt>
                <c:pt idx="173">
                  <c:v>10889.444430272846</c:v>
                </c:pt>
                <c:pt idx="174">
                  <c:v>10748.023074035536</c:v>
                </c:pt>
                <c:pt idx="175">
                  <c:v>10606.601717798227</c:v>
                </c:pt>
                <c:pt idx="176">
                  <c:v>10465.180361560917</c:v>
                </c:pt>
                <c:pt idx="177">
                  <c:v>10323.759005323607</c:v>
                </c:pt>
                <c:pt idx="178">
                  <c:v>10182.337649086297</c:v>
                </c:pt>
                <c:pt idx="179">
                  <c:v>10040.916292848988</c:v>
                </c:pt>
                <c:pt idx="180">
                  <c:v>9899.494936611678</c:v>
                </c:pt>
                <c:pt idx="181">
                  <c:v>9758.0735803743682</c:v>
                </c:pt>
                <c:pt idx="182">
                  <c:v>9616.6522241370585</c:v>
                </c:pt>
                <c:pt idx="183">
                  <c:v>9475.2308678997488</c:v>
                </c:pt>
                <c:pt idx="184">
                  <c:v>9333.809511662439</c:v>
                </c:pt>
                <c:pt idx="185">
                  <c:v>9192.3881554251293</c:v>
                </c:pt>
                <c:pt idx="186">
                  <c:v>9050.9667991878196</c:v>
                </c:pt>
                <c:pt idx="187">
                  <c:v>8909.5454429505098</c:v>
                </c:pt>
                <c:pt idx="188">
                  <c:v>8768.1240867132001</c:v>
                </c:pt>
                <c:pt idx="189">
                  <c:v>8626.7027304758903</c:v>
                </c:pt>
                <c:pt idx="190">
                  <c:v>8485.2813742385806</c:v>
                </c:pt>
                <c:pt idx="191">
                  <c:v>8343.8600180012709</c:v>
                </c:pt>
                <c:pt idx="192">
                  <c:v>8202.4386617639611</c:v>
                </c:pt>
                <c:pt idx="193">
                  <c:v>8061.0173055266514</c:v>
                </c:pt>
                <c:pt idx="194">
                  <c:v>7919.5959492893417</c:v>
                </c:pt>
                <c:pt idx="195">
                  <c:v>7778.1745930520319</c:v>
                </c:pt>
                <c:pt idx="196">
                  <c:v>7636.7532368147222</c:v>
                </c:pt>
                <c:pt idx="197">
                  <c:v>7495.3318805774124</c:v>
                </c:pt>
                <c:pt idx="198">
                  <c:v>7353.9105243401027</c:v>
                </c:pt>
                <c:pt idx="199">
                  <c:v>7212.489168102793</c:v>
                </c:pt>
                <c:pt idx="200">
                  <c:v>7071.0678118654832</c:v>
                </c:pt>
                <c:pt idx="201">
                  <c:v>6929.6464556281735</c:v>
                </c:pt>
                <c:pt idx="202">
                  <c:v>6788.2250993908638</c:v>
                </c:pt>
                <c:pt idx="203">
                  <c:v>6646.803743153554</c:v>
                </c:pt>
                <c:pt idx="204">
                  <c:v>6505.3823869162443</c:v>
                </c:pt>
                <c:pt idx="205">
                  <c:v>6363.9610306789345</c:v>
                </c:pt>
                <c:pt idx="206">
                  <c:v>6222.5396744416248</c:v>
                </c:pt>
                <c:pt idx="207">
                  <c:v>6081.1183182043151</c:v>
                </c:pt>
                <c:pt idx="208">
                  <c:v>5939.6969619670053</c:v>
                </c:pt>
                <c:pt idx="209">
                  <c:v>5798.2756057296956</c:v>
                </c:pt>
                <c:pt idx="210">
                  <c:v>5656.8542494923859</c:v>
                </c:pt>
                <c:pt idx="211">
                  <c:v>5515.4328932550761</c:v>
                </c:pt>
                <c:pt idx="212">
                  <c:v>5374.0115370177664</c:v>
                </c:pt>
                <c:pt idx="213">
                  <c:v>5232.5901807804566</c:v>
                </c:pt>
                <c:pt idx="214">
                  <c:v>5091.1688245431469</c:v>
                </c:pt>
                <c:pt idx="215">
                  <c:v>4949.7474683058372</c:v>
                </c:pt>
                <c:pt idx="216">
                  <c:v>4808.3261120685274</c:v>
                </c:pt>
                <c:pt idx="217">
                  <c:v>4666.9047558312177</c:v>
                </c:pt>
                <c:pt idx="218">
                  <c:v>4525.483399593908</c:v>
                </c:pt>
                <c:pt idx="219">
                  <c:v>4384.0620433565982</c:v>
                </c:pt>
                <c:pt idx="220">
                  <c:v>4242.6406871192885</c:v>
                </c:pt>
                <c:pt idx="221">
                  <c:v>4101.2193308819787</c:v>
                </c:pt>
                <c:pt idx="222">
                  <c:v>3959.797974644669</c:v>
                </c:pt>
                <c:pt idx="223">
                  <c:v>3818.3766184073593</c:v>
                </c:pt>
                <c:pt idx="224">
                  <c:v>3676.9552621700495</c:v>
                </c:pt>
                <c:pt idx="225">
                  <c:v>3535.5339059327398</c:v>
                </c:pt>
                <c:pt idx="226">
                  <c:v>3394.1125496954301</c:v>
                </c:pt>
                <c:pt idx="227">
                  <c:v>3252.6911934581203</c:v>
                </c:pt>
                <c:pt idx="228">
                  <c:v>3111.2698372208106</c:v>
                </c:pt>
                <c:pt idx="229">
                  <c:v>2969.8484809835008</c:v>
                </c:pt>
                <c:pt idx="230">
                  <c:v>2828.4271247461911</c:v>
                </c:pt>
                <c:pt idx="231">
                  <c:v>2687.0057685088814</c:v>
                </c:pt>
                <c:pt idx="232">
                  <c:v>2545.5844122715716</c:v>
                </c:pt>
                <c:pt idx="233">
                  <c:v>2404.1630560342619</c:v>
                </c:pt>
                <c:pt idx="234">
                  <c:v>2262.7416997969522</c:v>
                </c:pt>
                <c:pt idx="235">
                  <c:v>2121.3203435596424</c:v>
                </c:pt>
                <c:pt idx="236">
                  <c:v>1979.8989873223329</c:v>
                </c:pt>
                <c:pt idx="237">
                  <c:v>1838.4776310850234</c:v>
                </c:pt>
                <c:pt idx="238">
                  <c:v>1697.0562748477139</c:v>
                </c:pt>
                <c:pt idx="239">
                  <c:v>1555.6349186104044</c:v>
                </c:pt>
                <c:pt idx="240">
                  <c:v>1414.2135623730949</c:v>
                </c:pt>
                <c:pt idx="241">
                  <c:v>1272.7922061357854</c:v>
                </c:pt>
                <c:pt idx="242">
                  <c:v>1131.3708498984759</c:v>
                </c:pt>
                <c:pt idx="243">
                  <c:v>989.94949366116634</c:v>
                </c:pt>
                <c:pt idx="244">
                  <c:v>848.52813742385683</c:v>
                </c:pt>
                <c:pt idx="245">
                  <c:v>707.10678118654732</c:v>
                </c:pt>
                <c:pt idx="246">
                  <c:v>565.68542494923781</c:v>
                </c:pt>
                <c:pt idx="247">
                  <c:v>424.2640687119283</c:v>
                </c:pt>
                <c:pt idx="248">
                  <c:v>282.84271247461879</c:v>
                </c:pt>
                <c:pt idx="249">
                  <c:v>141.42135623730928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D3-4A65-98FD-47FDD814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8155584"/>
        <c:axId val="618156304"/>
      </c:lineChart>
      <c:catAx>
        <c:axId val="618155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8156304"/>
        <c:crosses val="autoZero"/>
        <c:auto val="1"/>
        <c:lblAlgn val="ctr"/>
        <c:lblOffset val="100"/>
        <c:noMultiLvlLbl val="0"/>
      </c:catAx>
      <c:valAx>
        <c:axId val="61815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815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workbookViewId="0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14</xdr:col>
      <xdr:colOff>849216</xdr:colOff>
      <xdr:row>72</xdr:row>
      <xdr:rowOff>68856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09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394608</xdr:colOff>
      <xdr:row>9</xdr:row>
      <xdr:rowOff>68036</xdr:rowOff>
    </xdr:from>
    <xdr:to>
      <xdr:col>12</xdr:col>
      <xdr:colOff>299357</xdr:colOff>
      <xdr:row>39</xdr:row>
      <xdr:rowOff>143549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B590E2-92EB-6778-BAE6-75215AA4C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5322" y="1660072"/>
          <a:ext cx="6708321" cy="5382298"/>
        </a:xfrm>
        <a:prstGeom prst="rect">
          <a:avLst/>
        </a:prstGeom>
      </xdr:spPr>
    </xdr:pic>
    <xdr:clientData/>
  </xdr:twoCellAnchor>
  <xdr:twoCellAnchor editAs="oneCell">
    <xdr:from>
      <xdr:col>12</xdr:col>
      <xdr:colOff>638174</xdr:colOff>
      <xdr:row>9</xdr:row>
      <xdr:rowOff>68036</xdr:rowOff>
    </xdr:from>
    <xdr:to>
      <xdr:col>22</xdr:col>
      <xdr:colOff>585107</xdr:colOff>
      <xdr:row>39</xdr:row>
      <xdr:rowOff>136072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6E57D6-D28D-8755-D6A2-F4E5C81C1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2460" y="1660072"/>
          <a:ext cx="6750504" cy="537482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138112</xdr:colOff>
      <xdr:row>8</xdr:row>
      <xdr:rowOff>14287</xdr:rowOff>
    </xdr:from>
    <xdr:to>
      <xdr:col>12</xdr:col>
      <xdr:colOff>361950</xdr:colOff>
      <xdr:row>39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9D37A-B51B-304E-DC4C-2D41313F9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247650</xdr:colOff>
      <xdr:row>0</xdr:row>
      <xdr:rowOff>9525</xdr:rowOff>
    </xdr:from>
    <xdr:to>
      <xdr:col>16</xdr:col>
      <xdr:colOff>418393</xdr:colOff>
      <xdr:row>26</xdr:row>
      <xdr:rowOff>27984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6C8F55-5E33-4AD5-34DE-BC7D61FF7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050" y="9525"/>
          <a:ext cx="5657143" cy="47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180267</xdr:colOff>
      <xdr:row>26</xdr:row>
      <xdr:rowOff>37507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4535352-010B-5C89-925D-B10D0F82B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5666667" cy="4742857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25</xdr:col>
      <xdr:colOff>170743</xdr:colOff>
      <xdr:row>26</xdr:row>
      <xdr:rowOff>37507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DCAE4A3-5AA6-56F2-C1D2-B388D0C65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58600" y="0"/>
          <a:ext cx="5657143" cy="4742857"/>
        </a:xfrm>
        <a:prstGeom prst="rect">
          <a:avLst/>
        </a:prstGeom>
      </xdr:spPr>
    </xdr:pic>
    <xdr:clientData/>
  </xdr:twoCellAnchor>
  <xdr:twoCellAnchor editAs="oneCell">
    <xdr:from>
      <xdr:col>25</xdr:col>
      <xdr:colOff>419100</xdr:colOff>
      <xdr:row>0</xdr:row>
      <xdr:rowOff>0</xdr:rowOff>
    </xdr:from>
    <xdr:to>
      <xdr:col>33</xdr:col>
      <xdr:colOff>589843</xdr:colOff>
      <xdr:row>26</xdr:row>
      <xdr:rowOff>18459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0B06B55-D961-7A56-729B-F193905B6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564100" y="0"/>
          <a:ext cx="5657143" cy="47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8</xdr:col>
      <xdr:colOff>180267</xdr:colOff>
      <xdr:row>54</xdr:row>
      <xdr:rowOff>18459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8F562DB-3D48-EEED-C0F7-DD16FF01B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5067300"/>
          <a:ext cx="5666667" cy="4723809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28</xdr:row>
      <xdr:rowOff>9525</xdr:rowOff>
    </xdr:from>
    <xdr:to>
      <xdr:col>16</xdr:col>
      <xdr:colOff>427917</xdr:colOff>
      <xdr:row>54</xdr:row>
      <xdr:rowOff>27984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F95EA7D-2589-75D5-621E-C19649DE5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34050" y="5076825"/>
          <a:ext cx="5666667" cy="4723809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28</xdr:row>
      <xdr:rowOff>0</xdr:rowOff>
    </xdr:from>
    <xdr:to>
      <xdr:col>25</xdr:col>
      <xdr:colOff>180267</xdr:colOff>
      <xdr:row>54</xdr:row>
      <xdr:rowOff>18459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E2174E6-9480-B2EB-08B1-47B6D5814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658600" y="5067300"/>
          <a:ext cx="5666667" cy="4723809"/>
        </a:xfrm>
        <a:prstGeom prst="rect">
          <a:avLst/>
        </a:prstGeom>
      </xdr:spPr>
    </xdr:pic>
    <xdr:clientData/>
  </xdr:twoCellAnchor>
  <xdr:twoCellAnchor editAs="oneCell">
    <xdr:from>
      <xdr:col>25</xdr:col>
      <xdr:colOff>419100</xdr:colOff>
      <xdr:row>27</xdr:row>
      <xdr:rowOff>171450</xdr:rowOff>
    </xdr:from>
    <xdr:to>
      <xdr:col>33</xdr:col>
      <xdr:colOff>589843</xdr:colOff>
      <xdr:row>54</xdr:row>
      <xdr:rowOff>18458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C972EC8-FD9F-B94F-0248-34569FA50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564100" y="5057775"/>
          <a:ext cx="5657143" cy="47333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www.omc-stepperonline.com/download/14HS17-0504S.pdf" TargetMode="External"/><Relationship Id="rId18" Type="http://schemas.openxmlformats.org/officeDocument/2006/relationships/hyperlink" Target="https://www.moonsindustries.com/p/nema-17-standard-hybrid-stepper-motors/ms17hdbp4100-000004611110008906" TargetMode="External"/><Relationship Id="rId3" Type="http://schemas.openxmlformats.org/officeDocument/2006/relationships/hyperlink" Target="https://www.omc-stepperonline.com/download/17HM19-20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cdn.shopify.com/s/files/1/0887/0138/files/HT_LDO-42STH40-2004MAH_VRN_RevA.pdf?v=1603743058" TargetMode="External"/><Relationship Id="rId17" Type="http://schemas.openxmlformats.org/officeDocument/2006/relationships/hyperlink" Target="https://www.moonsindustries.com/p/nema-14-high-precision-hybrid-stepper-motors/ms14ha1p4150-000004611110015347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7HS13-0404S1.pdf" TargetMode="External"/><Relationship Id="rId20" Type="http://schemas.openxmlformats.org/officeDocument/2006/relationships/hyperlink" Target="https://www.moonsindustries.com/p/nema-17-high-precision-hybrid-stepper-motors/ms17ha2p4150-000004611110015918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www.moonsindustries.com/p/nema-17-high-precision-hybrid-stepper-motors/ms17ha2p4200-000004611110015919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moonsindustries.com/p/nema-14-high-precision-hybrid-stepper-motors/ms14ha3p4150-000004611110015351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omc-stepperonline.com/download/14HS13-0804S.pdf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www.omc-stepperonline.com/download/14HS20-1504S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zoomScale="83" zoomScaleNormal="85" workbookViewId="0">
      <selection activeCell="O10" sqref="O10"/>
    </sheetView>
  </sheetViews>
  <sheetFormatPr defaultColWidth="11.375" defaultRowHeight="14.25" x14ac:dyDescent="0.2"/>
  <cols>
    <col min="2" max="2" width="14.875" bestFit="1" customWidth="1"/>
    <col min="3" max="3" width="30.75" customWidth="1"/>
    <col min="7" max="7" width="12" bestFit="1" customWidth="1"/>
    <col min="18" max="18" width="11.25" customWidth="1"/>
    <col min="19" max="52" width="5" customWidth="1"/>
  </cols>
  <sheetData>
    <row r="1" spans="1:53" x14ac:dyDescent="0.2">
      <c r="R1" t="str">
        <f>CONCATENATE("Stepper Torque, ",F2)</f>
        <v>Stepper Torque, 24V, 20T, 20k, 1000g, 50W</v>
      </c>
      <c r="AJ1" t="str">
        <f>CONCATENATE("Stepper Power, ",F2)</f>
        <v>Stepper Power, 24V, 20T, 20k, 1000g, 50W</v>
      </c>
    </row>
    <row r="2" spans="1:53" ht="146.25" x14ac:dyDescent="0.2">
      <c r="B2" s="23" t="s">
        <v>165</v>
      </c>
      <c r="C2" s="25">
        <v>24</v>
      </c>
      <c r="D2" t="s">
        <v>53</v>
      </c>
      <c r="F2" t="str">
        <f>CONCATENATE(C2, "V, ", C6, "T, ",C9/1000,"k, ", C10, "g, ",C5,"W")</f>
        <v>24V, 20T, 20k, 1000g, 50W</v>
      </c>
      <c r="P2" t="s">
        <v>162</v>
      </c>
      <c r="Q2" t="s">
        <v>1</v>
      </c>
      <c r="R2" s="3" t="str">
        <f>C14</f>
        <v>Leadshine 42CM06</v>
      </c>
      <c r="S2" s="3" t="str">
        <f>C15</f>
        <v>Yisheng 42CM06-01</v>
      </c>
      <c r="T2" s="3" t="str">
        <f>C16</f>
        <v>HANPOSE 42HS8402</v>
      </c>
      <c r="U2" s="3" t="str">
        <f>C17</f>
        <v>HANPOSE 42HS48</v>
      </c>
      <c r="V2" s="3" t="str">
        <f>C18</f>
        <v>LDO-42STH48-1684MAH</v>
      </c>
      <c r="W2" s="3" t="str">
        <f>C19</f>
        <v>LDO-42STH48-2004AC(VRN)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58</v>
      </c>
      <c r="AJ2" t="str">
        <f>Q2</f>
        <v>mm/s</v>
      </c>
      <c r="AK2" s="3" t="str">
        <f t="shared" ref="AK2:AZ2" si="0">R2</f>
        <v>Leadshine 42CM06</v>
      </c>
      <c r="AL2" s="3" t="str">
        <f t="shared" si="0"/>
        <v>Yisheng 42CM06-01</v>
      </c>
      <c r="AM2" s="3" t="str">
        <f t="shared" si="0"/>
        <v>HANPOSE 42HS8402</v>
      </c>
      <c r="AN2" s="3" t="str">
        <f t="shared" si="0"/>
        <v>HANPOSE 42HS48</v>
      </c>
      <c r="AO2" s="3" t="str">
        <f t="shared" si="0"/>
        <v>LDO-42STH48-1684MAH</v>
      </c>
      <c r="AP2" s="3" t="str">
        <f t="shared" si="0"/>
        <v>LDO-42STH48-2004AC(VRN)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">
      <c r="B3" s="23" t="s">
        <v>166</v>
      </c>
      <c r="C3" s="25">
        <v>1</v>
      </c>
      <c r="D3" t="s">
        <v>52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14.711179173432322</v>
      </c>
      <c r="S3" s="7">
        <f t="shared" ref="S3:S34" si="3">SingleCoilTorque($F$15,$G$15,$H$15,$I$15,$J$15,$K$15,$C$2,$M$15,$P3)-$N$15</f>
        <v>19.356032623105179</v>
      </c>
      <c r="T3" s="7">
        <f t="shared" ref="T3:T34" si="4">SingleCoilTorque($F$16,$G$16,$H$16,$I$16,$J$16,$K$16,$C$2,$M$16,$P3)-$N$16</f>
        <v>26.15226013558723</v>
      </c>
      <c r="U3">
        <f t="shared" ref="U3:U34" si="5">SingleCoilTorque($F$17,$G$17,$H$17,$I$17,$J$17,$K$17,$C$2,$M$17,$P3)-$N$17</f>
        <v>18.29433148557937</v>
      </c>
      <c r="V3" s="7">
        <f t="shared" ref="V3:V34" si="6">SingleCoilTorque($F$18,$G$18,$H$18,$I$18,$J$18,$K$18,$C$2,$M$18,$P3)-$N$18</f>
        <v>14.281175067896784</v>
      </c>
      <c r="W3" s="7">
        <f t="shared" ref="W3:W34" si="7">SingleCoilTorque($F$19,$G$19,$H$19,$I$19,$J$19,$K$19,$C$2,$M$19,$P3)-$N$19</f>
        <v>18.192446810219536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12.732395447351628</v>
      </c>
      <c r="AJ3">
        <f>Q3</f>
        <v>0</v>
      </c>
      <c r="AK3" s="7">
        <f t="shared" ref="AK3:AK34" si="19">StepperPower($F$14,$G$14,$H$14,$I$14,$J$14,$K$14,$C$2,$M$14,$P3)</f>
        <v>0.9</v>
      </c>
      <c r="AL3" s="7">
        <f t="shared" ref="AL3:AL34" si="20">StepperPower($F$15,$G$15,$H$15,$I$15,$J$15,$K$15,$C$2,$M$15,$P3)</f>
        <v>1.9</v>
      </c>
      <c r="AM3" s="7">
        <f t="shared" ref="AM3:AM34" si="21">StepperPower($F$16,$G$16,$H$16,$I$16,$J$16,$K$16,$C$2,$M$16,$P3)</f>
        <v>3.2</v>
      </c>
      <c r="AN3" s="7">
        <f t="shared" ref="AN3:AN34" si="22">StepperPower($F$17,$G$17,$H$17,$I$17,$J$17,$K$17,$C$2,$M$17,$P3)</f>
        <v>1.8</v>
      </c>
      <c r="AO3" s="7">
        <f t="shared" ref="AO3:AO34" si="23">StepperPower($F$18,$G$18,$H$18,$I$18,$J$18,$K$18,$C$2,$M$18,$P3)</f>
        <v>1.65</v>
      </c>
      <c r="AP3" s="7">
        <f t="shared" ref="AP3:AP34" si="24">StepperPower($F$19,$G$19,$H$19,$I$19,$J$19,$K$19,$C$2,$M$19,$P3)</f>
        <v>1.6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">
      <c r="B4" s="23" t="s">
        <v>167</v>
      </c>
      <c r="C4" s="26">
        <v>1</v>
      </c>
      <c r="P4">
        <f>P3+0.5</f>
        <v>0.5</v>
      </c>
      <c r="Q4">
        <f t="shared" si="1"/>
        <v>20</v>
      </c>
      <c r="R4" s="7">
        <f t="shared" si="2"/>
        <v>14.711179173432322</v>
      </c>
      <c r="S4" s="7">
        <f t="shared" si="3"/>
        <v>19.356032623105179</v>
      </c>
      <c r="T4" s="7">
        <f t="shared" si="4"/>
        <v>26.15226013558723</v>
      </c>
      <c r="U4" s="7">
        <f t="shared" si="5"/>
        <v>18.29433148557937</v>
      </c>
      <c r="V4" s="7">
        <f t="shared" si="6"/>
        <v>14.281175067896784</v>
      </c>
      <c r="W4" s="7">
        <f t="shared" si="7"/>
        <v>18.192446810219536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12.732395447351628</v>
      </c>
      <c r="AJ4">
        <f t="shared" ref="AJ4:AJ67" si="35">Q4</f>
        <v>20</v>
      </c>
      <c r="AK4" s="7">
        <f t="shared" si="19"/>
        <v>1.4332107496463933</v>
      </c>
      <c r="AL4" s="7">
        <f t="shared" si="20"/>
        <v>2.5801157520999913</v>
      </c>
      <c r="AM4" s="7">
        <f t="shared" si="21"/>
        <v>4.0886845827439888</v>
      </c>
      <c r="AN4" s="7">
        <f t="shared" si="22"/>
        <v>2.4418277542039917</v>
      </c>
      <c r="AO4" s="7">
        <f t="shared" si="23"/>
        <v>2.1657544453424933</v>
      </c>
      <c r="AP4" s="7">
        <f t="shared" si="24"/>
        <v>2.2554048797736916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">
      <c r="B5" s="23" t="s">
        <v>168</v>
      </c>
      <c r="C5" s="25">
        <v>50</v>
      </c>
      <c r="D5" t="s">
        <v>131</v>
      </c>
      <c r="P5">
        <f t="shared" ref="P5:P68" si="36">P4+0.5</f>
        <v>1</v>
      </c>
      <c r="Q5">
        <f t="shared" si="1"/>
        <v>40</v>
      </c>
      <c r="R5" s="7">
        <f t="shared" si="2"/>
        <v>14.711179173432322</v>
      </c>
      <c r="S5" s="7">
        <f t="shared" si="3"/>
        <v>19.356032623105179</v>
      </c>
      <c r="T5" s="7">
        <f t="shared" si="4"/>
        <v>26.15226013558723</v>
      </c>
      <c r="U5" s="7">
        <f t="shared" si="5"/>
        <v>18.29433148557937</v>
      </c>
      <c r="V5" s="7">
        <f t="shared" si="6"/>
        <v>14.281175067896784</v>
      </c>
      <c r="W5" s="7">
        <f t="shared" si="7"/>
        <v>18.192446810219536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12.732395447351628</v>
      </c>
      <c r="AJ5">
        <f t="shared" si="35"/>
        <v>40</v>
      </c>
      <c r="AK5" s="7">
        <f t="shared" si="19"/>
        <v>1.9664214992927866</v>
      </c>
      <c r="AL5" s="7">
        <f t="shared" si="20"/>
        <v>3.2602315041999828</v>
      </c>
      <c r="AM5" s="7">
        <f t="shared" si="21"/>
        <v>4.9773691654879775</v>
      </c>
      <c r="AN5" s="7">
        <f t="shared" si="22"/>
        <v>3.0836555084079835</v>
      </c>
      <c r="AO5" s="7">
        <f t="shared" si="23"/>
        <v>2.6815088906849871</v>
      </c>
      <c r="AP5" s="7">
        <f t="shared" si="24"/>
        <v>2.9108097595473836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">
      <c r="B6" s="23" t="s">
        <v>169</v>
      </c>
      <c r="C6" s="25">
        <v>20</v>
      </c>
      <c r="D6" t="s">
        <v>54</v>
      </c>
      <c r="E6">
        <f>C6*2/(2*PI())</f>
        <v>6.366197723675814</v>
      </c>
      <c r="F6" t="s">
        <v>7</v>
      </c>
      <c r="P6">
        <f>P5+0.5</f>
        <v>1.5</v>
      </c>
      <c r="Q6">
        <f t="shared" si="1"/>
        <v>60</v>
      </c>
      <c r="R6" s="7">
        <f t="shared" si="2"/>
        <v>14.711179173432322</v>
      </c>
      <c r="S6" s="7">
        <f t="shared" si="3"/>
        <v>19.356032623105179</v>
      </c>
      <c r="T6" s="7">
        <f t="shared" si="4"/>
        <v>26.15226013558723</v>
      </c>
      <c r="U6" s="7">
        <f t="shared" si="5"/>
        <v>18.29433148557937</v>
      </c>
      <c r="V6" s="7">
        <f t="shared" si="6"/>
        <v>14.281175067896784</v>
      </c>
      <c r="W6" s="7">
        <f t="shared" si="7"/>
        <v>18.192446810219536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12.732395447351628</v>
      </c>
      <c r="AJ6">
        <f t="shared" si="35"/>
        <v>60</v>
      </c>
      <c r="AK6" s="7">
        <f t="shared" si="19"/>
        <v>2.49963224893918</v>
      </c>
      <c r="AL6" s="7">
        <f t="shared" si="20"/>
        <v>3.9403472562999742</v>
      </c>
      <c r="AM6" s="7">
        <f t="shared" si="21"/>
        <v>5.8660537482319661</v>
      </c>
      <c r="AN6" s="7">
        <f t="shared" si="22"/>
        <v>3.7254832626119754</v>
      </c>
      <c r="AO6" s="7">
        <f t="shared" si="23"/>
        <v>3.1972633360274805</v>
      </c>
      <c r="AP6" s="7">
        <f t="shared" si="24"/>
        <v>3.5662146393210752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">
      <c r="B7" s="23" t="s">
        <v>170</v>
      </c>
      <c r="C7" s="25">
        <v>1</v>
      </c>
      <c r="P7">
        <f t="shared" si="36"/>
        <v>2</v>
      </c>
      <c r="Q7">
        <f t="shared" si="1"/>
        <v>80</v>
      </c>
      <c r="R7" s="7">
        <f t="shared" si="2"/>
        <v>14.711179173432322</v>
      </c>
      <c r="S7" s="7">
        <f t="shared" si="3"/>
        <v>19.356032623105179</v>
      </c>
      <c r="T7" s="7">
        <f t="shared" si="4"/>
        <v>26.15226013558723</v>
      </c>
      <c r="U7" s="7">
        <f t="shared" si="5"/>
        <v>18.29433148557937</v>
      </c>
      <c r="V7" s="7">
        <f t="shared" si="6"/>
        <v>14.281175067896784</v>
      </c>
      <c r="W7" s="7">
        <f t="shared" si="7"/>
        <v>18.192446810219536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12.732395447351628</v>
      </c>
      <c r="AJ7">
        <f t="shared" si="35"/>
        <v>80</v>
      </c>
      <c r="AK7" s="7">
        <f t="shared" si="19"/>
        <v>3.0328429985855729</v>
      </c>
      <c r="AL7" s="7">
        <f t="shared" si="20"/>
        <v>4.620463008399966</v>
      </c>
      <c r="AM7" s="7">
        <f t="shared" si="21"/>
        <v>6.7547383309759557</v>
      </c>
      <c r="AN7" s="7">
        <f t="shared" si="22"/>
        <v>4.3673110168159672</v>
      </c>
      <c r="AO7" s="7">
        <f t="shared" si="23"/>
        <v>3.7130177813699738</v>
      </c>
      <c r="AP7" s="7">
        <f t="shared" si="24"/>
        <v>4.2216195190947676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">
      <c r="B8" s="24"/>
      <c r="C8" s="25"/>
      <c r="P8">
        <f t="shared" si="36"/>
        <v>2.5</v>
      </c>
      <c r="Q8">
        <f t="shared" si="1"/>
        <v>100</v>
      </c>
      <c r="R8" s="7">
        <f t="shared" si="2"/>
        <v>14.711179173432322</v>
      </c>
      <c r="S8" s="7">
        <f t="shared" si="3"/>
        <v>19.356032623105179</v>
      </c>
      <c r="T8" s="7">
        <f t="shared" si="4"/>
        <v>26.15226013558723</v>
      </c>
      <c r="U8" s="7">
        <f t="shared" si="5"/>
        <v>18.29433148557937</v>
      </c>
      <c r="V8" s="7">
        <f t="shared" si="6"/>
        <v>14.281175067896784</v>
      </c>
      <c r="W8" s="7">
        <f t="shared" si="7"/>
        <v>18.192446810219536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12.732395447351628</v>
      </c>
      <c r="AJ8">
        <f t="shared" si="35"/>
        <v>100</v>
      </c>
      <c r="AK8" s="7">
        <f t="shared" si="19"/>
        <v>3.5660537482319663</v>
      </c>
      <c r="AL8" s="7">
        <f t="shared" si="20"/>
        <v>5.300578760499957</v>
      </c>
      <c r="AM8" s="7">
        <f t="shared" si="21"/>
        <v>7.6434229137199443</v>
      </c>
      <c r="AN8" s="7">
        <f t="shared" si="22"/>
        <v>5.0091387710199591</v>
      </c>
      <c r="AO8" s="7">
        <f t="shared" si="23"/>
        <v>4.2287722267124677</v>
      </c>
      <c r="AP8" s="7">
        <f t="shared" si="24"/>
        <v>4.8770243988684587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">
      <c r="B9" s="23" t="s">
        <v>171</v>
      </c>
      <c r="C9" s="25">
        <v>20000</v>
      </c>
      <c r="D9" t="s">
        <v>6</v>
      </c>
      <c r="P9">
        <f t="shared" si="36"/>
        <v>3</v>
      </c>
      <c r="Q9">
        <f t="shared" si="1"/>
        <v>120</v>
      </c>
      <c r="R9" s="7">
        <f t="shared" si="2"/>
        <v>14.711179173432322</v>
      </c>
      <c r="S9" s="7">
        <f t="shared" si="3"/>
        <v>19.356032623105179</v>
      </c>
      <c r="T9" s="7">
        <f t="shared" si="4"/>
        <v>26.15226013558723</v>
      </c>
      <c r="U9" s="7">
        <f t="shared" si="5"/>
        <v>18.29433148557937</v>
      </c>
      <c r="V9" s="7">
        <f t="shared" si="6"/>
        <v>14.281175067896784</v>
      </c>
      <c r="W9" s="7">
        <f t="shared" si="7"/>
        <v>18.192446810219536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12.732395447351628</v>
      </c>
      <c r="AJ9">
        <f t="shared" si="35"/>
        <v>120</v>
      </c>
      <c r="AK9" s="7">
        <f t="shared" si="19"/>
        <v>4.0992644978783597</v>
      </c>
      <c r="AL9" s="7">
        <f t="shared" si="20"/>
        <v>5.980694512599948</v>
      </c>
      <c r="AM9" s="7">
        <f t="shared" si="21"/>
        <v>8.532107496463933</v>
      </c>
      <c r="AN9" s="7">
        <f t="shared" si="22"/>
        <v>5.6509665252239509</v>
      </c>
      <c r="AO9" s="7">
        <f t="shared" si="23"/>
        <v>4.7445266720549615</v>
      </c>
      <c r="AP9" s="7">
        <f t="shared" si="24"/>
        <v>5.5324292786421498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">
      <c r="B10" s="23" t="s">
        <v>172</v>
      </c>
      <c r="C10" s="25">
        <v>1000</v>
      </c>
      <c r="D10" t="s">
        <v>57</v>
      </c>
      <c r="P10">
        <f t="shared" si="36"/>
        <v>3.5</v>
      </c>
      <c r="Q10">
        <f t="shared" si="1"/>
        <v>140</v>
      </c>
      <c r="R10" s="7">
        <f t="shared" si="2"/>
        <v>14.711179173432322</v>
      </c>
      <c r="S10" s="7">
        <f t="shared" si="3"/>
        <v>19.356032623105179</v>
      </c>
      <c r="T10" s="7">
        <f t="shared" si="4"/>
        <v>26.15226013558723</v>
      </c>
      <c r="U10" s="7">
        <f t="shared" si="5"/>
        <v>18.29433148557937</v>
      </c>
      <c r="V10" s="7">
        <f t="shared" si="6"/>
        <v>14.281175067896784</v>
      </c>
      <c r="W10" s="7">
        <f t="shared" si="7"/>
        <v>18.192446810219536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12.732395447351628</v>
      </c>
      <c r="AJ10">
        <f t="shared" si="35"/>
        <v>140</v>
      </c>
      <c r="AK10" s="7">
        <f t="shared" si="19"/>
        <v>4.632475247524753</v>
      </c>
      <c r="AL10" s="7">
        <f t="shared" si="20"/>
        <v>6.6608102646999399</v>
      </c>
      <c r="AM10" s="7">
        <f t="shared" si="21"/>
        <v>9.4207920792079207</v>
      </c>
      <c r="AN10" s="7">
        <f t="shared" si="22"/>
        <v>6.2927942794279428</v>
      </c>
      <c r="AO10" s="7">
        <f t="shared" si="23"/>
        <v>5.2602811173974544</v>
      </c>
      <c r="AP10" s="7">
        <f t="shared" si="24"/>
        <v>6.1878341584158427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">
      <c r="B11" s="23" t="s">
        <v>173</v>
      </c>
      <c r="C11" s="27">
        <f>C9/1000*C10/1000*(C6*2/C7)/(2*PI()*10)</f>
        <v>12.732395447351628</v>
      </c>
      <c r="D11" t="s">
        <v>55</v>
      </c>
      <c r="E11">
        <f>C11/100</f>
        <v>0.12732395447351627</v>
      </c>
      <c r="P11">
        <f t="shared" si="36"/>
        <v>4</v>
      </c>
      <c r="Q11">
        <f t="shared" si="1"/>
        <v>160</v>
      </c>
      <c r="R11" s="7">
        <f t="shared" si="2"/>
        <v>14.711179173432322</v>
      </c>
      <c r="S11" s="7">
        <f t="shared" si="3"/>
        <v>19.356032623105179</v>
      </c>
      <c r="T11" s="7">
        <f t="shared" si="4"/>
        <v>26.15226013558723</v>
      </c>
      <c r="U11" s="7">
        <f t="shared" si="5"/>
        <v>18.29433148557937</v>
      </c>
      <c r="V11" s="7">
        <f t="shared" si="6"/>
        <v>14.281175067896784</v>
      </c>
      <c r="W11" s="7">
        <f t="shared" si="7"/>
        <v>18.192446810219536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12.732395447351628</v>
      </c>
      <c r="AJ11">
        <f t="shared" si="35"/>
        <v>160</v>
      </c>
      <c r="AK11" s="7">
        <f t="shared" si="19"/>
        <v>5.1656859971711464</v>
      </c>
      <c r="AL11" s="7">
        <f t="shared" si="20"/>
        <v>7.3409260167999317</v>
      </c>
      <c r="AM11" s="7">
        <f t="shared" si="21"/>
        <v>10.30947666195191</v>
      </c>
      <c r="AN11" s="7">
        <f t="shared" si="22"/>
        <v>6.9346220336319346</v>
      </c>
      <c r="AO11" s="7">
        <f t="shared" si="23"/>
        <v>5.7760355627399473</v>
      </c>
      <c r="AP11" s="7">
        <f t="shared" si="24"/>
        <v>6.8432390381895338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.100000000000001" customHeight="1" x14ac:dyDescent="0.2">
      <c r="P12">
        <f t="shared" si="36"/>
        <v>4.5</v>
      </c>
      <c r="Q12">
        <f t="shared" si="1"/>
        <v>180</v>
      </c>
      <c r="R12" s="7">
        <f t="shared" si="2"/>
        <v>14.711179173432322</v>
      </c>
      <c r="S12" s="7">
        <f t="shared" si="3"/>
        <v>19.356032623105179</v>
      </c>
      <c r="T12" s="7">
        <f t="shared" si="4"/>
        <v>26.15226013558723</v>
      </c>
      <c r="U12" s="7">
        <f t="shared" si="5"/>
        <v>18.29433148557937</v>
      </c>
      <c r="V12" s="7">
        <f t="shared" si="6"/>
        <v>14.281175067896784</v>
      </c>
      <c r="W12" s="7">
        <f t="shared" si="7"/>
        <v>18.192446810219536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12.732395447351628</v>
      </c>
      <c r="AJ12">
        <f t="shared" si="35"/>
        <v>180</v>
      </c>
      <c r="AK12" s="7">
        <f t="shared" si="19"/>
        <v>5.6988967468175398</v>
      </c>
      <c r="AL12" s="7">
        <f t="shared" si="20"/>
        <v>8.0210417688999236</v>
      </c>
      <c r="AM12" s="7">
        <f t="shared" si="21"/>
        <v>11.1981612446959</v>
      </c>
      <c r="AN12" s="7">
        <f t="shared" si="22"/>
        <v>7.5764497878359265</v>
      </c>
      <c r="AO12" s="7">
        <f t="shared" si="23"/>
        <v>6.291790008082442</v>
      </c>
      <c r="AP12" s="7">
        <f t="shared" si="24"/>
        <v>7.4986439179632249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42.75" x14ac:dyDescent="0.2">
      <c r="D13" s="5" t="s">
        <v>8</v>
      </c>
      <c r="E13" s="5" t="s">
        <v>3</v>
      </c>
      <c r="F13" s="5" t="s">
        <v>30</v>
      </c>
      <c r="G13" s="5" t="s">
        <v>35</v>
      </c>
      <c r="H13" s="5" t="s">
        <v>33</v>
      </c>
      <c r="I13" s="5" t="s">
        <v>32</v>
      </c>
      <c r="J13" s="5" t="s">
        <v>31</v>
      </c>
      <c r="K13" s="5" t="s">
        <v>4</v>
      </c>
      <c r="L13" s="5" t="s">
        <v>132</v>
      </c>
      <c r="M13" t="s">
        <v>34</v>
      </c>
      <c r="N13" t="s">
        <v>56</v>
      </c>
      <c r="O13" t="s">
        <v>133</v>
      </c>
      <c r="P13">
        <f t="shared" si="36"/>
        <v>5</v>
      </c>
      <c r="Q13">
        <f t="shared" si="1"/>
        <v>200</v>
      </c>
      <c r="R13" s="7">
        <f t="shared" si="2"/>
        <v>14.711179173432322</v>
      </c>
      <c r="S13" s="7">
        <f t="shared" si="3"/>
        <v>19.356032623105179</v>
      </c>
      <c r="T13" s="7">
        <f t="shared" si="4"/>
        <v>26.15226013558723</v>
      </c>
      <c r="U13" s="7">
        <f t="shared" si="5"/>
        <v>18.29433148557937</v>
      </c>
      <c r="V13" s="7">
        <f t="shared" si="6"/>
        <v>14.281175067896784</v>
      </c>
      <c r="W13" s="7">
        <f t="shared" si="7"/>
        <v>18.192446810219536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12.732395447351628</v>
      </c>
      <c r="AJ13">
        <f t="shared" si="35"/>
        <v>200</v>
      </c>
      <c r="AK13" s="7">
        <f t="shared" si="19"/>
        <v>6.2321074964639331</v>
      </c>
      <c r="AL13" s="7">
        <f t="shared" si="20"/>
        <v>8.7011575209999137</v>
      </c>
      <c r="AM13" s="7">
        <f t="shared" si="21"/>
        <v>12.086845827439888</v>
      </c>
      <c r="AN13" s="7">
        <f t="shared" si="22"/>
        <v>8.2182775420399192</v>
      </c>
      <c r="AO13" s="7">
        <f t="shared" si="23"/>
        <v>6.807544453424935</v>
      </c>
      <c r="AP13" s="7">
        <f t="shared" si="24"/>
        <v>8.1540487977369178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">
      <c r="A14" t="s">
        <v>36</v>
      </c>
      <c r="C14" s="28" t="s">
        <v>207</v>
      </c>
      <c r="D14">
        <f>VLOOKUP($C14,'Motor Database'!$A$3:$K$294,4,FALSE)</f>
        <v>17</v>
      </c>
      <c r="E14">
        <f>VLOOKUP($C14,'Motor Database'!$A$3:$K$294,5,FALSE)</f>
        <v>48</v>
      </c>
      <c r="F14">
        <f>VLOOKUP($C14,'Motor Database'!$A$3:$K$294,6,FALSE)</f>
        <v>1.8</v>
      </c>
      <c r="G14">
        <f>VLOOKUP($C14,'Motor Database'!$A$3:$K$294,7,FALSE)</f>
        <v>2.5</v>
      </c>
      <c r="H14">
        <f>VLOOKUP($C14,'Motor Database'!$A$3:$K$294,8,FALSE)</f>
        <v>60</v>
      </c>
      <c r="I14">
        <f>VLOOKUP($C14,'Motor Database'!$A$3:$K$294,9,FALSE)</f>
        <v>1.6</v>
      </c>
      <c r="J14">
        <f>VLOOKUP($C14,'Motor Database'!$A$3:$K$294,10,FALSE)</f>
        <v>0.9</v>
      </c>
      <c r="K14">
        <f>VLOOKUP($C14,'Motor Database'!$A$3:$K$294,11,FALSE)</f>
        <v>72</v>
      </c>
      <c r="L14" s="2">
        <f>SQRT($C$5/2/$J14)</f>
        <v>5.2704627669472988</v>
      </c>
      <c r="M14" s="2">
        <f>MIN($C$3,$C$4*$G14,$G14,L14)</f>
        <v>1</v>
      </c>
      <c r="N14" s="2">
        <f>$C$9/($C$6*2)*2*PI()*(K14/(1000*100^2))*100</f>
        <v>2.2619467105846511</v>
      </c>
      <c r="O14">
        <f>M14^2*J14*2</f>
        <v>1.8</v>
      </c>
      <c r="P14">
        <f t="shared" si="36"/>
        <v>5.5</v>
      </c>
      <c r="Q14">
        <f t="shared" si="1"/>
        <v>220</v>
      </c>
      <c r="R14" s="7">
        <f t="shared" si="2"/>
        <v>14.711179173432322</v>
      </c>
      <c r="S14" s="7">
        <f t="shared" si="3"/>
        <v>19.356032623105179</v>
      </c>
      <c r="T14" s="7">
        <f t="shared" si="4"/>
        <v>26.15226013558723</v>
      </c>
      <c r="U14" s="7">
        <f t="shared" si="5"/>
        <v>18.29433148557937</v>
      </c>
      <c r="V14" s="7">
        <f t="shared" si="6"/>
        <v>14.281175067896784</v>
      </c>
      <c r="W14" s="7">
        <f t="shared" si="7"/>
        <v>18.192446810219536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12.732395447351628</v>
      </c>
      <c r="AJ14">
        <f t="shared" si="35"/>
        <v>220</v>
      </c>
      <c r="AK14" s="7">
        <f t="shared" si="19"/>
        <v>6.7653182461103265</v>
      </c>
      <c r="AL14" s="7">
        <f t="shared" si="20"/>
        <v>9.3812732730999056</v>
      </c>
      <c r="AM14" s="7">
        <f t="shared" si="21"/>
        <v>12.975530410183875</v>
      </c>
      <c r="AN14" s="7">
        <f t="shared" si="22"/>
        <v>8.8601052962439102</v>
      </c>
      <c r="AO14" s="7">
        <f t="shared" si="23"/>
        <v>7.3232988987674279</v>
      </c>
      <c r="AP14" s="7">
        <f t="shared" si="24"/>
        <v>8.8094536775106089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">
      <c r="A15" t="s">
        <v>37</v>
      </c>
      <c r="C15" s="28" t="s">
        <v>185</v>
      </c>
      <c r="D15">
        <f>VLOOKUP($C15,'Motor Database'!$A$3:$K$294,4,FALSE)</f>
        <v>17</v>
      </c>
      <c r="E15">
        <f>VLOOKUP($C15,'Motor Database'!$A$3:$K$294,5,FALSE)</f>
        <v>48</v>
      </c>
      <c r="F15">
        <f>VLOOKUP($C15,'Motor Database'!$A$3:$K$294,6,FALSE)</f>
        <v>1.8</v>
      </c>
      <c r="G15">
        <f>VLOOKUP($C15,'Motor Database'!$A$3:$K$294,7,FALSE)</f>
        <v>1.96</v>
      </c>
      <c r="H15">
        <f>VLOOKUP($C15,'Motor Database'!$A$3:$K$294,8,FALSE)</f>
        <v>60</v>
      </c>
      <c r="I15">
        <f>VLOOKUP($C15,'Motor Database'!$A$3:$K$294,9,FALSE)</f>
        <v>4</v>
      </c>
      <c r="J15">
        <f>VLOOKUP($C15,'Motor Database'!$A$3:$K$294,10,FALSE)</f>
        <v>1.9</v>
      </c>
      <c r="K15">
        <f>VLOOKUP($C15,'Motor Database'!$A$3:$K$294,11,FALSE)</f>
        <v>73</v>
      </c>
      <c r="L15" s="2">
        <f t="shared" ref="L15:L29" si="37">SQRT($C$5/2/$J15)</f>
        <v>3.6273812505500587</v>
      </c>
      <c r="M15" s="2">
        <f>MIN($C$3,$C$4*$G15,$G15,L15)</f>
        <v>1</v>
      </c>
      <c r="N15" s="2">
        <f t="shared" ref="N15:N29" si="38">$C$9/($C$6*2)*2*PI()*(K15/(1000*100^2))*100</f>
        <v>2.2933626371205489</v>
      </c>
      <c r="O15">
        <f t="shared" ref="O15:O29" si="39">M15^2*J15*2</f>
        <v>3.8</v>
      </c>
      <c r="P15">
        <f t="shared" si="36"/>
        <v>6</v>
      </c>
      <c r="Q15">
        <f t="shared" si="1"/>
        <v>240</v>
      </c>
      <c r="R15" s="7">
        <f t="shared" si="2"/>
        <v>14.711179173432322</v>
      </c>
      <c r="S15" s="7">
        <f t="shared" si="3"/>
        <v>19.356032623105179</v>
      </c>
      <c r="T15" s="7">
        <f t="shared" si="4"/>
        <v>25.670256378301744</v>
      </c>
      <c r="U15" s="7">
        <f t="shared" si="5"/>
        <v>18.29433148557937</v>
      </c>
      <c r="V15" s="7">
        <f t="shared" si="6"/>
        <v>14.281175067896784</v>
      </c>
      <c r="W15" s="7">
        <f t="shared" si="7"/>
        <v>18.192446810219536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12.732395447351628</v>
      </c>
      <c r="AJ15">
        <f t="shared" si="35"/>
        <v>240</v>
      </c>
      <c r="AK15" s="7">
        <f t="shared" si="19"/>
        <v>7.2985289957567199</v>
      </c>
      <c r="AL15" s="7">
        <f t="shared" si="20"/>
        <v>10.061389025199897</v>
      </c>
      <c r="AM15" s="7">
        <f t="shared" si="21"/>
        <v>13.574389716294498</v>
      </c>
      <c r="AN15" s="7">
        <f t="shared" si="22"/>
        <v>9.5019330504479029</v>
      </c>
      <c r="AO15" s="7">
        <f t="shared" si="23"/>
        <v>7.8390533441099226</v>
      </c>
      <c r="AP15" s="7">
        <f t="shared" si="24"/>
        <v>9.4648585572843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">
      <c r="A16" t="s">
        <v>38</v>
      </c>
      <c r="C16" s="28" t="s">
        <v>223</v>
      </c>
      <c r="D16">
        <f>VLOOKUP($C16,'Motor Database'!$A$3:$K$294,4,FALSE)</f>
        <v>17</v>
      </c>
      <c r="E16">
        <f>VLOOKUP($C16,'Motor Database'!$A$3:$K$294,5,FALSE)</f>
        <v>48</v>
      </c>
      <c r="F16">
        <f>VLOOKUP($C16,'Motor Database'!$A$3:$K$294,6,FALSE)</f>
        <v>1.8</v>
      </c>
      <c r="G16">
        <f>VLOOKUP($C16,'Motor Database'!$A$3:$K$294,7,FALSE)</f>
        <v>1.3</v>
      </c>
      <c r="H16">
        <f>VLOOKUP($C16,'Motor Database'!$A$3:$K$294,8,FALSE)</f>
        <v>52</v>
      </c>
      <c r="I16">
        <f>VLOOKUP($C16,'Motor Database'!$A$3:$K$294,9,FALSE)</f>
        <v>5.5</v>
      </c>
      <c r="J16">
        <f>VLOOKUP($C16,'Motor Database'!$A$3:$K$294,10,FALSE)</f>
        <v>3.2</v>
      </c>
      <c r="K16">
        <f>VLOOKUP($C16,'Motor Database'!$A$3:$K$294,11,FALSE)</f>
        <v>68</v>
      </c>
      <c r="L16" s="2">
        <f>SQRT($C$5/2/$J16)</f>
        <v>2.7950849718747373</v>
      </c>
      <c r="M16" s="2">
        <f t="shared" ref="M16:M29" si="40">MIN($C$3,$C$4*$G16,$G16,L16)</f>
        <v>1</v>
      </c>
      <c r="N16" s="2">
        <f t="shared" si="38"/>
        <v>2.1362830044410592</v>
      </c>
      <c r="O16">
        <f t="shared" si="39"/>
        <v>6.4</v>
      </c>
      <c r="P16">
        <f t="shared" si="36"/>
        <v>6.5</v>
      </c>
      <c r="Q16">
        <f t="shared" si="1"/>
        <v>260</v>
      </c>
      <c r="R16" s="7">
        <f t="shared" si="2"/>
        <v>14.711179173432322</v>
      </c>
      <c r="S16" s="7">
        <f t="shared" si="3"/>
        <v>19.356032623105179</v>
      </c>
      <c r="T16" s="7">
        <f t="shared" si="4"/>
        <v>22.263529364491927</v>
      </c>
      <c r="U16" s="7">
        <f t="shared" si="5"/>
        <v>18.29433148557937</v>
      </c>
      <c r="V16" s="7">
        <f t="shared" si="6"/>
        <v>14.281175067896784</v>
      </c>
      <c r="W16" s="7">
        <f t="shared" si="7"/>
        <v>18.192446810219536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12.732395447351628</v>
      </c>
      <c r="AJ16">
        <f t="shared" si="35"/>
        <v>260</v>
      </c>
      <c r="AK16" s="7">
        <f t="shared" si="19"/>
        <v>7.8317397454031132</v>
      </c>
      <c r="AL16" s="7">
        <f t="shared" si="20"/>
        <v>10.741504777299889</v>
      </c>
      <c r="AM16" s="7">
        <f t="shared" si="21"/>
        <v>12.345445563147813</v>
      </c>
      <c r="AN16" s="7">
        <f t="shared" si="22"/>
        <v>10.143760804651896</v>
      </c>
      <c r="AO16" s="7">
        <f t="shared" si="23"/>
        <v>8.3548077894524155</v>
      </c>
      <c r="AP16" s="7">
        <f t="shared" si="24"/>
        <v>10.120263437057993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">
      <c r="A17" t="s">
        <v>39</v>
      </c>
      <c r="C17" s="28" t="s">
        <v>222</v>
      </c>
      <c r="D17">
        <f>VLOOKUP($C17,'Motor Database'!$A$3:$K$294,4,FALSE)</f>
        <v>17</v>
      </c>
      <c r="E17">
        <f>VLOOKUP($C17,'Motor Database'!$A$3:$K$294,5,FALSE)</f>
        <v>48</v>
      </c>
      <c r="F17">
        <f>VLOOKUP($C17,'Motor Database'!$A$3:$K$294,6,FALSE)</f>
        <v>1.8</v>
      </c>
      <c r="G17">
        <f>VLOOKUP($C17,'Motor Database'!$A$3:$K$294,7,FALSE)</f>
        <v>1.8</v>
      </c>
      <c r="H17">
        <f>VLOOKUP($C17,'Motor Database'!$A$3:$K$294,8,FALSE)</f>
        <v>52</v>
      </c>
      <c r="I17">
        <f>VLOOKUP($C17,'Motor Database'!$A$3:$K$294,9,FALSE)</f>
        <v>3.2</v>
      </c>
      <c r="J17">
        <f>VLOOKUP($C17,'Motor Database'!$A$3:$K$294,10,FALSE)</f>
        <v>1.8</v>
      </c>
      <c r="K17">
        <f>VLOOKUP($C17,'Motor Database'!$A$3:$K$294,11,FALSE)</f>
        <v>68</v>
      </c>
      <c r="L17" s="2">
        <f t="shared" si="37"/>
        <v>3.7267799624996494</v>
      </c>
      <c r="M17" s="2">
        <f t="shared" si="40"/>
        <v>1</v>
      </c>
      <c r="N17" s="2">
        <f t="shared" si="38"/>
        <v>2.1362830044410592</v>
      </c>
      <c r="O17">
        <f t="shared" si="39"/>
        <v>3.6</v>
      </c>
      <c r="P17">
        <f t="shared" si="36"/>
        <v>7</v>
      </c>
      <c r="Q17">
        <f t="shared" si="1"/>
        <v>280</v>
      </c>
      <c r="R17" s="7">
        <f t="shared" si="2"/>
        <v>14.711179173432322</v>
      </c>
      <c r="S17" s="7">
        <f t="shared" si="3"/>
        <v>19.356032623105179</v>
      </c>
      <c r="T17" s="7">
        <f t="shared" si="4"/>
        <v>19.241654569994644</v>
      </c>
      <c r="U17" s="7">
        <f t="shared" si="5"/>
        <v>18.29433148557937</v>
      </c>
      <c r="V17" s="7">
        <f t="shared" si="6"/>
        <v>14.281175067896784</v>
      </c>
      <c r="W17" s="7">
        <f t="shared" si="7"/>
        <v>18.192446810219536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12.732395447351628</v>
      </c>
      <c r="AJ17">
        <f t="shared" si="35"/>
        <v>280</v>
      </c>
      <c r="AK17" s="7">
        <f t="shared" si="19"/>
        <v>8.3649504950495057</v>
      </c>
      <c r="AL17" s="7">
        <f t="shared" si="20"/>
        <v>11.421620529399881</v>
      </c>
      <c r="AM17" s="7">
        <f t="shared" si="21"/>
        <v>11.229743508770802</v>
      </c>
      <c r="AN17" s="7">
        <f t="shared" si="22"/>
        <v>10.785588558855887</v>
      </c>
      <c r="AO17" s="7">
        <f t="shared" si="23"/>
        <v>8.8705622347949085</v>
      </c>
      <c r="AP17" s="7">
        <f t="shared" si="24"/>
        <v>10.775668316831684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">
      <c r="A18" t="s">
        <v>40</v>
      </c>
      <c r="C18" s="28" t="s">
        <v>224</v>
      </c>
      <c r="D18">
        <f>VLOOKUP($C18,'Motor Database'!$A$3:$K$294,4,FALSE)</f>
        <v>17</v>
      </c>
      <c r="E18">
        <f>VLOOKUP($C18,'Motor Database'!$A$3:$K$294,5,FALSE)</f>
        <v>48</v>
      </c>
      <c r="F18">
        <f>VLOOKUP($C18,'Motor Database'!$A$3:$K$294,6,FALSE)</f>
        <v>0.9</v>
      </c>
      <c r="G18">
        <f>VLOOKUP($C18,'Motor Database'!$A$3:$K$294,7,FALSE)</f>
        <v>1.68</v>
      </c>
      <c r="H18">
        <f>VLOOKUP($C18,'Motor Database'!$A$3:$K$294,8,FALSE)</f>
        <v>39</v>
      </c>
      <c r="I18">
        <f>VLOOKUP($C18,'Motor Database'!$A$3:$K$294,9,FALSE)</f>
        <v>2.8</v>
      </c>
      <c r="J18">
        <f>VLOOKUP($C18,'Motor Database'!$A$3:$K$294,10,FALSE)</f>
        <v>1.65</v>
      </c>
      <c r="K18">
        <f>VLOOKUP($C18,'Motor Database'!$A$3:$K$294,11,FALSE)</f>
        <v>68</v>
      </c>
      <c r="L18" s="2">
        <f>SQRT($C$5/2/$J18)</f>
        <v>3.892494720807615</v>
      </c>
      <c r="M18" s="2">
        <f t="shared" si="40"/>
        <v>1</v>
      </c>
      <c r="N18" s="2">
        <f t="shared" si="38"/>
        <v>2.1362830044410592</v>
      </c>
      <c r="O18">
        <f t="shared" si="39"/>
        <v>3.3</v>
      </c>
      <c r="P18">
        <f t="shared" si="36"/>
        <v>7.5</v>
      </c>
      <c r="Q18">
        <f t="shared" si="1"/>
        <v>300</v>
      </c>
      <c r="R18" s="7">
        <f t="shared" si="2"/>
        <v>14.711179173432322</v>
      </c>
      <c r="S18" s="7">
        <f t="shared" si="3"/>
        <v>19.356032623105179</v>
      </c>
      <c r="T18" s="7">
        <f t="shared" si="4"/>
        <v>16.542904461014192</v>
      </c>
      <c r="U18" s="7">
        <f t="shared" si="5"/>
        <v>18.29433148557937</v>
      </c>
      <c r="V18" s="7">
        <f t="shared" si="6"/>
        <v>14.281175067896784</v>
      </c>
      <c r="W18" s="7">
        <f t="shared" si="7"/>
        <v>18.192446810219536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12.732395447351628</v>
      </c>
      <c r="AJ18">
        <f t="shared" si="35"/>
        <v>300</v>
      </c>
      <c r="AK18" s="7">
        <f t="shared" si="19"/>
        <v>8.8981612446958991</v>
      </c>
      <c r="AL18" s="7">
        <f t="shared" si="20"/>
        <v>12.101736281499871</v>
      </c>
      <c r="AM18" s="7">
        <f t="shared" si="21"/>
        <v>10.197326805138037</v>
      </c>
      <c r="AN18" s="7">
        <f t="shared" si="22"/>
        <v>11.427416313059879</v>
      </c>
      <c r="AO18" s="7">
        <f t="shared" si="23"/>
        <v>9.3863166801374032</v>
      </c>
      <c r="AP18" s="7">
        <f t="shared" si="24"/>
        <v>11.431073196605375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">
      <c r="A19" t="s">
        <v>41</v>
      </c>
      <c r="C19" s="28" t="s">
        <v>189</v>
      </c>
      <c r="D19">
        <f>VLOOKUP($C19,'Motor Database'!$A$3:$K$294,4,FALSE)</f>
        <v>17</v>
      </c>
      <c r="E19">
        <f>VLOOKUP($C19,'Motor Database'!$A$3:$K$294,5,FALSE)</f>
        <v>48</v>
      </c>
      <c r="F19">
        <f>VLOOKUP($C19,'Motor Database'!$A$3:$K$294,6,FALSE)</f>
        <v>1.8</v>
      </c>
      <c r="G19">
        <f>VLOOKUP($C19,'Motor Database'!$A$3:$K$294,7,FALSE)</f>
        <v>2</v>
      </c>
      <c r="H19">
        <f>VLOOKUP($C19,'Motor Database'!$A$3:$K$294,8,FALSE)</f>
        <v>59</v>
      </c>
      <c r="I19">
        <f>VLOOKUP($C19,'Motor Database'!$A$3:$K$294,9,FALSE)</f>
        <v>3</v>
      </c>
      <c r="J19">
        <f>VLOOKUP($C19,'Motor Database'!$A$3:$K$294,10,FALSE)</f>
        <v>1.6</v>
      </c>
      <c r="K19">
        <f>VLOOKUP($C19,'Motor Database'!$A$3:$K$294,11,FALSE)</f>
        <v>85</v>
      </c>
      <c r="L19" s="2">
        <f t="shared" si="37"/>
        <v>3.9528470752104741</v>
      </c>
      <c r="M19" s="2">
        <f t="shared" si="40"/>
        <v>1</v>
      </c>
      <c r="N19" s="2">
        <f t="shared" si="38"/>
        <v>2.6703537555513237</v>
      </c>
      <c r="O19">
        <f t="shared" si="39"/>
        <v>3.2</v>
      </c>
      <c r="P19">
        <f t="shared" si="36"/>
        <v>8</v>
      </c>
      <c r="Q19">
        <f t="shared" si="1"/>
        <v>320</v>
      </c>
      <c r="R19" s="7">
        <f t="shared" si="2"/>
        <v>14.711179173432322</v>
      </c>
      <c r="S19" s="7">
        <f t="shared" si="3"/>
        <v>19.356032623105179</v>
      </c>
      <c r="T19" s="7">
        <f t="shared" si="4"/>
        <v>14.118082418665695</v>
      </c>
      <c r="U19" s="7">
        <f t="shared" si="5"/>
        <v>18.29433148557937</v>
      </c>
      <c r="V19" s="7">
        <f t="shared" si="6"/>
        <v>14.281175067896784</v>
      </c>
      <c r="W19" s="7">
        <f t="shared" si="7"/>
        <v>18.192446810219536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12.732395447351628</v>
      </c>
      <c r="AJ19">
        <f t="shared" si="35"/>
        <v>320</v>
      </c>
      <c r="AK19" s="7">
        <f t="shared" si="19"/>
        <v>9.4313719943422925</v>
      </c>
      <c r="AL19" s="7">
        <f t="shared" si="20"/>
        <v>12.781852033599863</v>
      </c>
      <c r="AM19" s="7">
        <f t="shared" si="21"/>
        <v>9.2265926585924039</v>
      </c>
      <c r="AN19" s="7">
        <f t="shared" si="22"/>
        <v>12.06924406726387</v>
      </c>
      <c r="AO19" s="7">
        <f t="shared" si="23"/>
        <v>9.9020711254798961</v>
      </c>
      <c r="AP19" s="7">
        <f t="shared" si="24"/>
        <v>12.086478076379068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">
      <c r="A20" t="s">
        <v>42</v>
      </c>
      <c r="C20" s="28"/>
      <c r="D20" t="e">
        <f>VLOOKUP($C20,'Motor Database'!$A$3:$K$294,4,FALSE)</f>
        <v>#N/A</v>
      </c>
      <c r="E20" t="e">
        <f>VLOOKUP($C20,'Motor Database'!$A$3:$K$294,5,FALSE)</f>
        <v>#N/A</v>
      </c>
      <c r="F20" t="e">
        <f>VLOOKUP($C20,'Motor Database'!$A$3:$K$294,6,FALSE)</f>
        <v>#N/A</v>
      </c>
      <c r="G20" t="e">
        <f>VLOOKUP($C20,'Motor Database'!$A$3:$K$294,7,FALSE)</f>
        <v>#N/A</v>
      </c>
      <c r="H20" t="e">
        <f>VLOOKUP($C20,'Motor Database'!$A$3:$K$294,8,FALSE)</f>
        <v>#N/A</v>
      </c>
      <c r="I20" t="e">
        <f>VLOOKUP($C20,'Motor Database'!$A$3:$K$294,9,FALSE)</f>
        <v>#N/A</v>
      </c>
      <c r="J20" t="e">
        <f>VLOOKUP($C20,'Motor Database'!$A$3:$K$294,10,FALSE)</f>
        <v>#N/A</v>
      </c>
      <c r="K20" t="e">
        <f>VLOOKUP($C20,'Motor Database'!$A$3:$K$294,11,FALSE)</f>
        <v>#N/A</v>
      </c>
      <c r="L20" s="2" t="e">
        <f t="shared" si="37"/>
        <v>#N/A</v>
      </c>
      <c r="M20" s="2" t="e">
        <f t="shared" si="40"/>
        <v>#N/A</v>
      </c>
      <c r="N20" s="2" t="e">
        <f t="shared" si="38"/>
        <v>#N/A</v>
      </c>
      <c r="O20" t="e">
        <f t="shared" si="39"/>
        <v>#N/A</v>
      </c>
      <c r="P20">
        <f t="shared" si="36"/>
        <v>8.5</v>
      </c>
      <c r="Q20">
        <f t="shared" si="1"/>
        <v>340</v>
      </c>
      <c r="R20" s="7">
        <f t="shared" si="2"/>
        <v>14.711179173432322</v>
      </c>
      <c r="S20" s="7">
        <f t="shared" si="3"/>
        <v>19.109843415355346</v>
      </c>
      <c r="T20" s="7">
        <f t="shared" si="4"/>
        <v>11.9274965442298</v>
      </c>
      <c r="U20" s="7">
        <f t="shared" si="5"/>
        <v>18.29433148557937</v>
      </c>
      <c r="V20" s="7">
        <f t="shared" si="6"/>
        <v>12.925178891128205</v>
      </c>
      <c r="W20" s="7">
        <f t="shared" si="7"/>
        <v>18.192446810219536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12.732395447351628</v>
      </c>
      <c r="AJ20">
        <f t="shared" si="35"/>
        <v>340</v>
      </c>
      <c r="AK20" s="7">
        <f t="shared" si="19"/>
        <v>9.9645827439886858</v>
      </c>
      <c r="AL20" s="7">
        <f t="shared" si="20"/>
        <v>13.287522659682924</v>
      </c>
      <c r="AM20" s="7">
        <f t="shared" si="21"/>
        <v>8.3017524374464742</v>
      </c>
      <c r="AN20" s="7">
        <f t="shared" si="22"/>
        <v>12.711071821467863</v>
      </c>
      <c r="AO20" s="7">
        <f t="shared" si="23"/>
        <v>9.4323424194815928</v>
      </c>
      <c r="AP20" s="7">
        <f t="shared" si="24"/>
        <v>12.741882956152759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">
      <c r="A21" t="s">
        <v>43</v>
      </c>
      <c r="C21" s="28"/>
      <c r="D21" t="e">
        <f>VLOOKUP($C21,'Motor Database'!$A$3:$K$294,4,FALSE)</f>
        <v>#N/A</v>
      </c>
      <c r="E21" t="e">
        <f>VLOOKUP($C21,'Motor Database'!$A$3:$K$294,5,FALSE)</f>
        <v>#N/A</v>
      </c>
      <c r="F21" t="e">
        <f>VLOOKUP($C21,'Motor Database'!$A$3:$K$294,6,FALSE)</f>
        <v>#N/A</v>
      </c>
      <c r="G21" t="e">
        <f>VLOOKUP($C21,'Motor Database'!$A$3:$K$294,7,FALSE)</f>
        <v>#N/A</v>
      </c>
      <c r="H21" t="e">
        <f>VLOOKUP($C21,'Motor Database'!$A$3:$K$294,8,FALSE)</f>
        <v>#N/A</v>
      </c>
      <c r="I21" t="e">
        <f>VLOOKUP($C21,'Motor Database'!$A$3:$K$294,9,FALSE)</f>
        <v>#N/A</v>
      </c>
      <c r="J21" t="e">
        <f>VLOOKUP($C21,'Motor Database'!$A$3:$K$294,10,FALSE)</f>
        <v>#N/A</v>
      </c>
      <c r="K21" t="e">
        <f>VLOOKUP($C21,'Motor Database'!$A$3:$K$294,11,FALSE)</f>
        <v>#N/A</v>
      </c>
      <c r="L21" s="2" t="e">
        <f t="shared" si="37"/>
        <v>#N/A</v>
      </c>
      <c r="M21" s="2" t="e">
        <f t="shared" si="40"/>
        <v>#N/A</v>
      </c>
      <c r="N21" s="2" t="e">
        <f t="shared" si="38"/>
        <v>#N/A</v>
      </c>
      <c r="O21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14.711179173432322</v>
      </c>
      <c r="S21" s="7">
        <f t="shared" si="3"/>
        <v>16.977140256794851</v>
      </c>
      <c r="T21" s="7">
        <f t="shared" si="4"/>
        <v>9.9387700430346264</v>
      </c>
      <c r="U21" s="7">
        <f t="shared" si="5"/>
        <v>18.29433148557937</v>
      </c>
      <c r="V21" s="7">
        <f t="shared" si="6"/>
        <v>11.683084207180171</v>
      </c>
      <c r="W21" s="7">
        <f t="shared" si="7"/>
        <v>18.192446810219536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12.732395447351628</v>
      </c>
      <c r="AJ21">
        <f t="shared" si="35"/>
        <v>360</v>
      </c>
      <c r="AK21" s="7">
        <f t="shared" si="19"/>
        <v>10.497793493635079</v>
      </c>
      <c r="AL21" s="7">
        <f t="shared" si="20"/>
        <v>12.402278262121039</v>
      </c>
      <c r="AM21" s="7">
        <f t="shared" si="21"/>
        <v>7.4111317364109182</v>
      </c>
      <c r="AN21" s="7">
        <f t="shared" si="22"/>
        <v>13.352899575671854</v>
      </c>
      <c r="AO21" s="7">
        <f t="shared" si="23"/>
        <v>8.9835288723520534</v>
      </c>
      <c r="AP21" s="7">
        <f t="shared" si="24"/>
        <v>13.39728783592645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">
      <c r="A22" t="s">
        <v>44</v>
      </c>
      <c r="C22" s="28"/>
      <c r="D22" t="e">
        <f>VLOOKUP($C22,'Motor Database'!$A$3:$K$294,4,FALSE)</f>
        <v>#N/A</v>
      </c>
      <c r="E22" t="e">
        <f>VLOOKUP($C22,'Motor Database'!$A$3:$K$294,5,FALSE)</f>
        <v>#N/A</v>
      </c>
      <c r="F22" t="e">
        <f>VLOOKUP($C22,'Motor Database'!$A$3:$K$294,6,FALSE)</f>
        <v>#N/A</v>
      </c>
      <c r="G22" t="e">
        <f>VLOOKUP($C22,'Motor Database'!$A$3:$K$294,7,FALSE)</f>
        <v>#N/A</v>
      </c>
      <c r="H22" t="e">
        <f>VLOOKUP($C22,'Motor Database'!$A$3:$K$294,8,FALSE)</f>
        <v>#N/A</v>
      </c>
      <c r="I22" t="e">
        <f>VLOOKUP($C22,'Motor Database'!$A$3:$K$294,9,FALSE)</f>
        <v>#N/A</v>
      </c>
      <c r="J22" t="e">
        <f>VLOOKUP($C22,'Motor Database'!$A$3:$K$294,10,FALSE)</f>
        <v>#N/A</v>
      </c>
      <c r="K22" t="e">
        <f>VLOOKUP($C22,'Motor Database'!$A$3:$K$294,11,FALSE)</f>
        <v>#N/A</v>
      </c>
      <c r="L22" s="2" t="e">
        <f t="shared" si="37"/>
        <v>#N/A</v>
      </c>
      <c r="M22" s="2" t="e">
        <f t="shared" si="40"/>
        <v>#N/A</v>
      </c>
      <c r="N22" s="2" t="e">
        <f t="shared" si="38"/>
        <v>#N/A</v>
      </c>
      <c r="O2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14.711179173432322</v>
      </c>
      <c r="S22" s="7">
        <f t="shared" si="3"/>
        <v>15.038107635176701</v>
      </c>
      <c r="T22" s="7">
        <f t="shared" si="4"/>
        <v>8.1252302575226949</v>
      </c>
      <c r="U22" s="7">
        <f t="shared" si="5"/>
        <v>18.29433148557937</v>
      </c>
      <c r="V22" s="7">
        <f t="shared" si="6"/>
        <v>10.559987989248111</v>
      </c>
      <c r="W22" s="7">
        <f t="shared" si="7"/>
        <v>18.192446810219536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12.732395447351628</v>
      </c>
      <c r="AJ22">
        <f t="shared" si="35"/>
        <v>380</v>
      </c>
      <c r="AK22" s="7">
        <f t="shared" si="19"/>
        <v>11.031004243281473</v>
      </c>
      <c r="AL22" s="7">
        <f t="shared" si="20"/>
        <v>11.562573797986813</v>
      </c>
      <c r="AM22" s="7">
        <f t="shared" si="21"/>
        <v>6.5460107602945214</v>
      </c>
      <c r="AN22" s="7">
        <f t="shared" si="22"/>
        <v>13.994727329875847</v>
      </c>
      <c r="AO22" s="7">
        <f t="shared" si="23"/>
        <v>8.5650031211646471</v>
      </c>
      <c r="AP22" s="7">
        <f t="shared" si="24"/>
        <v>14.052692715700143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">
      <c r="A23" t="s">
        <v>45</v>
      </c>
      <c r="C23" s="28"/>
      <c r="D23" t="e">
        <f>VLOOKUP($C23,'Motor Database'!$A$3:$K$294,4,FALSE)</f>
        <v>#N/A</v>
      </c>
      <c r="E23" t="e">
        <f>VLOOKUP($C23,'Motor Database'!$A$3:$K$294,5,FALSE)</f>
        <v>#N/A</v>
      </c>
      <c r="F23" t="e">
        <f>VLOOKUP($C23,'Motor Database'!$A$3:$K$294,6,FALSE)</f>
        <v>#N/A</v>
      </c>
      <c r="G23" t="e">
        <f>VLOOKUP($C23,'Motor Database'!$A$3:$K$294,7,FALSE)</f>
        <v>#N/A</v>
      </c>
      <c r="H23" t="e">
        <f>VLOOKUP($C23,'Motor Database'!$A$3:$K$294,8,FALSE)</f>
        <v>#N/A</v>
      </c>
      <c r="I23" t="e">
        <f>VLOOKUP($C23,'Motor Database'!$A$3:$K$294,9,FALSE)</f>
        <v>#N/A</v>
      </c>
      <c r="J23" t="e">
        <f>VLOOKUP($C23,'Motor Database'!$A$3:$K$294,10,FALSE)</f>
        <v>#N/A</v>
      </c>
      <c r="K23" t="e">
        <f>VLOOKUP($C23,'Motor Database'!$A$3:$K$294,11,FALSE)</f>
        <v>#N/A</v>
      </c>
      <c r="L23" s="2" t="e">
        <f t="shared" si="37"/>
        <v>#N/A</v>
      </c>
      <c r="M23" s="2" t="e">
        <f t="shared" si="40"/>
        <v>#N/A</v>
      </c>
      <c r="N23" s="2" t="e">
        <f t="shared" si="38"/>
        <v>#N/A</v>
      </c>
      <c r="O23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14.711179173432322</v>
      </c>
      <c r="S23" s="7">
        <f t="shared" si="3"/>
        <v>13.267510544619345</v>
      </c>
      <c r="T23" s="7">
        <f t="shared" si="4"/>
        <v>6.4647054698695658</v>
      </c>
      <c r="U23" s="7">
        <f t="shared" si="5"/>
        <v>17.106093434690905</v>
      </c>
      <c r="V23" s="7">
        <f t="shared" si="6"/>
        <v>9.5395710519897072</v>
      </c>
      <c r="W23" s="7">
        <f t="shared" si="7"/>
        <v>17.941518678343137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12.732395447351628</v>
      </c>
      <c r="AJ23">
        <f t="shared" si="35"/>
        <v>400</v>
      </c>
      <c r="AK23" s="7">
        <f t="shared" si="19"/>
        <v>11.564214992927866</v>
      </c>
      <c r="AL23" s="7">
        <f t="shared" si="20"/>
        <v>10.758486310647337</v>
      </c>
      <c r="AM23" s="7">
        <f t="shared" si="21"/>
        <v>5.6998197051309605</v>
      </c>
      <c r="AN23" s="7">
        <f t="shared" si="22"/>
        <v>13.686698847497617</v>
      </c>
      <c r="AO23" s="7">
        <f t="shared" si="23"/>
        <v>8.1704834670562203</v>
      </c>
      <c r="AP23" s="7">
        <f t="shared" si="24"/>
        <v>14.512182786487534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">
      <c r="A24" t="s">
        <v>46</v>
      </c>
      <c r="C24" s="28"/>
      <c r="D24" t="e">
        <f>VLOOKUP($C24,'Motor Database'!$A$3:$K$294,4,FALSE)</f>
        <v>#N/A</v>
      </c>
      <c r="E24" t="e">
        <f>VLOOKUP($C24,'Motor Database'!$A$3:$K$294,5,FALSE)</f>
        <v>#N/A</v>
      </c>
      <c r="F24" t="e">
        <f>VLOOKUP($C24,'Motor Database'!$A$3:$K$294,6,FALSE)</f>
        <v>#N/A</v>
      </c>
      <c r="G24" t="e">
        <f>VLOOKUP($C24,'Motor Database'!$A$3:$K$294,7,FALSE)</f>
        <v>#N/A</v>
      </c>
      <c r="H24" t="e">
        <f>VLOOKUP($C24,'Motor Database'!$A$3:$K$294,8,FALSE)</f>
        <v>#N/A</v>
      </c>
      <c r="I24" t="e">
        <f>VLOOKUP($C24,'Motor Database'!$A$3:$K$294,9,FALSE)</f>
        <v>#N/A</v>
      </c>
      <c r="J24" t="e">
        <f>VLOOKUP($C24,'Motor Database'!$A$3:$K$294,10,FALSE)</f>
        <v>#N/A</v>
      </c>
      <c r="K24" t="e">
        <f>VLOOKUP($C24,'Motor Database'!$A$3:$K$294,11,FALSE)</f>
        <v>#N/A</v>
      </c>
      <c r="L24" s="2" t="e">
        <f t="shared" si="37"/>
        <v>#N/A</v>
      </c>
      <c r="M24" s="2" t="e">
        <f t="shared" si="40"/>
        <v>#N/A</v>
      </c>
      <c r="N24" s="2" t="e">
        <f t="shared" si="38"/>
        <v>#N/A</v>
      </c>
      <c r="O24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14.711179173432322</v>
      </c>
      <c r="S24" s="7">
        <f t="shared" si="3"/>
        <v>11.644315606132256</v>
      </c>
      <c r="T24" s="7">
        <f t="shared" si="4"/>
        <v>4.9386139310133608</v>
      </c>
      <c r="U24" s="7">
        <f t="shared" si="5"/>
        <v>15.261972666146628</v>
      </c>
      <c r="V24" s="7">
        <f t="shared" si="6"/>
        <v>8.6083677370566178</v>
      </c>
      <c r="W24" s="7">
        <f t="shared" si="7"/>
        <v>15.907161481714526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12.732395447351628</v>
      </c>
      <c r="AJ24">
        <f t="shared" si="35"/>
        <v>420</v>
      </c>
      <c r="AK24" s="7">
        <f t="shared" si="19"/>
        <v>12.097425742574259</v>
      </c>
      <c r="AL24" s="7">
        <f t="shared" si="20"/>
        <v>9.9823815638114883</v>
      </c>
      <c r="AM24" s="7">
        <f t="shared" si="21"/>
        <v>4.8675718329292126</v>
      </c>
      <c r="AN24" s="7">
        <f t="shared" si="22"/>
        <v>12.783222478205888</v>
      </c>
      <c r="AO24" s="7">
        <f t="shared" si="23"/>
        <v>7.795142457959904</v>
      </c>
      <c r="AP24" s="7">
        <f t="shared" si="24"/>
        <v>13.524539413327554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">
      <c r="A25" t="s">
        <v>47</v>
      </c>
      <c r="C25" s="28"/>
      <c r="D25" t="e">
        <f>VLOOKUP($C25,'Motor Database'!$A$3:$K$294,4,FALSE)</f>
        <v>#N/A</v>
      </c>
      <c r="E25" t="e">
        <f>VLOOKUP($C25,'Motor Database'!$A$3:$K$294,5,FALSE)</f>
        <v>#N/A</v>
      </c>
      <c r="F25" t="e">
        <f>VLOOKUP($C25,'Motor Database'!$A$3:$K$294,6,FALSE)</f>
        <v>#N/A</v>
      </c>
      <c r="G25" t="e">
        <f>VLOOKUP($C25,'Motor Database'!$A$3:$K$294,7,FALSE)</f>
        <v>#N/A</v>
      </c>
      <c r="H25" t="e">
        <f>VLOOKUP($C25,'Motor Database'!$A$3:$K$294,8,FALSE)</f>
        <v>#N/A</v>
      </c>
      <c r="I25" t="e">
        <f>VLOOKUP($C25,'Motor Database'!$A$3:$K$294,9,FALSE)</f>
        <v>#N/A</v>
      </c>
      <c r="J25" t="e">
        <f>VLOOKUP($C25,'Motor Database'!$A$3:$K$294,10,FALSE)</f>
        <v>#N/A</v>
      </c>
      <c r="K25" t="e">
        <f>VLOOKUP($C25,'Motor Database'!$A$3:$K$294,11,FALSE)</f>
        <v>#N/A</v>
      </c>
      <c r="L25" s="2" t="e">
        <f t="shared" si="37"/>
        <v>#N/A</v>
      </c>
      <c r="M25" s="2" t="e">
        <f t="shared" si="40"/>
        <v>#N/A</v>
      </c>
      <c r="N25" s="2" t="e">
        <f t="shared" si="38"/>
        <v>#N/A</v>
      </c>
      <c r="O25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14.711179173432322</v>
      </c>
      <c r="S25" s="7">
        <f t="shared" si="3"/>
        <v>10.150851549287072</v>
      </c>
      <c r="T25" s="7">
        <f t="shared" si="4"/>
        <v>3.531265533983174</v>
      </c>
      <c r="U25" s="7">
        <f t="shared" si="5"/>
        <v>13.562030322857312</v>
      </c>
      <c r="V25" s="7">
        <f t="shared" si="6"/>
        <v>7.7551683360922929</v>
      </c>
      <c r="W25" s="7">
        <f t="shared" si="7"/>
        <v>14.033018871088411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12.732395447351628</v>
      </c>
      <c r="AJ25">
        <f t="shared" si="35"/>
        <v>440</v>
      </c>
      <c r="AK25" s="7">
        <f t="shared" si="19"/>
        <v>12.630636492220653</v>
      </c>
      <c r="AL25" s="7">
        <f t="shared" si="20"/>
        <v>9.2283346322231612</v>
      </c>
      <c r="AM25" s="7">
        <f t="shared" si="21"/>
        <v>4.0454584448061457</v>
      </c>
      <c r="AN25" s="7">
        <f t="shared" si="22"/>
        <v>11.912287408461518</v>
      </c>
      <c r="AO25" s="7">
        <f t="shared" si="23"/>
        <v>7.4352309454896011</v>
      </c>
      <c r="AP25" s="7">
        <f t="shared" si="24"/>
        <v>12.569813959722067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">
      <c r="A26" t="s">
        <v>48</v>
      </c>
      <c r="C26" s="28"/>
      <c r="D26" t="e">
        <f>VLOOKUP($C26,'Motor Database'!$A$3:$K$294,4,FALSE)</f>
        <v>#N/A</v>
      </c>
      <c r="E26" t="e">
        <f>VLOOKUP($C26,'Motor Database'!$A$3:$K$294,5,FALSE)</f>
        <v>#N/A</v>
      </c>
      <c r="F26" t="e">
        <f>VLOOKUP($C26,'Motor Database'!$A$3:$K$294,6,FALSE)</f>
        <v>#N/A</v>
      </c>
      <c r="G26" t="e">
        <f>VLOOKUP($C26,'Motor Database'!$A$3:$K$294,7,FALSE)</f>
        <v>#N/A</v>
      </c>
      <c r="H26" t="e">
        <f>VLOOKUP($C26,'Motor Database'!$A$3:$K$294,8,FALSE)</f>
        <v>#N/A</v>
      </c>
      <c r="I26" t="e">
        <f>VLOOKUP($C26,'Motor Database'!$A$3:$K$294,9,FALSE)</f>
        <v>#N/A</v>
      </c>
      <c r="J26" t="e">
        <f>VLOOKUP($C26,'Motor Database'!$A$3:$K$294,10,FALSE)</f>
        <v>#N/A</v>
      </c>
      <c r="K26" t="e">
        <f>VLOOKUP($C26,'Motor Database'!$A$3:$K$294,11,FALSE)</f>
        <v>#N/A</v>
      </c>
      <c r="L26" s="2" t="e">
        <f t="shared" si="37"/>
        <v>#N/A</v>
      </c>
      <c r="M26" s="2" t="e">
        <f t="shared" si="40"/>
        <v>#N/A</v>
      </c>
      <c r="N26" s="2" t="e">
        <f t="shared" si="38"/>
        <v>#N/A</v>
      </c>
      <c r="O26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14.711179173432322</v>
      </c>
      <c r="S26" s="7">
        <f t="shared" si="3"/>
        <v>8.772163249973989</v>
      </c>
      <c r="T26" s="7">
        <f t="shared" si="4"/>
        <v>2.2293203906001193</v>
      </c>
      <c r="U26" s="7">
        <f t="shared" si="5"/>
        <v>11.989994113283977</v>
      </c>
      <c r="V26" s="7">
        <f t="shared" si="6"/>
        <v>6.9705656482126965</v>
      </c>
      <c r="W26" s="7">
        <f t="shared" si="7"/>
        <v>12.300881474521804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12.732395447351628</v>
      </c>
      <c r="AJ26">
        <f t="shared" si="35"/>
        <v>460</v>
      </c>
      <c r="AK26" s="7">
        <f t="shared" si="19"/>
        <v>13.163847241867046</v>
      </c>
      <c r="AL26" s="7">
        <f t="shared" si="20"/>
        <v>8.4917111489651997</v>
      </c>
      <c r="AM26" s="7">
        <f t="shared" si="21"/>
        <v>3.2305558544216617</v>
      </c>
      <c r="AN26" s="7">
        <f t="shared" si="22"/>
        <v>11.067399066839744</v>
      </c>
      <c r="AO26" s="7">
        <f t="shared" si="23"/>
        <v>7.087809347668947</v>
      </c>
      <c r="AP26" s="7">
        <f t="shared" si="24"/>
        <v>11.641320631251117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">
      <c r="A27" t="s">
        <v>49</v>
      </c>
      <c r="C27" s="28"/>
      <c r="D27" t="e">
        <f>VLOOKUP($C27,'Motor Database'!$A$3:$K$294,4,FALSE)</f>
        <v>#N/A</v>
      </c>
      <c r="E27" t="e">
        <f>VLOOKUP($C27,'Motor Database'!$A$3:$K$294,5,FALSE)</f>
        <v>#N/A</v>
      </c>
      <c r="F27" t="e">
        <f>VLOOKUP($C27,'Motor Database'!$A$3:$K$294,6,FALSE)</f>
        <v>#N/A</v>
      </c>
      <c r="G27" t="e">
        <f>VLOOKUP($C27,'Motor Database'!$A$3:$K$294,7,FALSE)</f>
        <v>#N/A</v>
      </c>
      <c r="H27" t="e">
        <f>VLOOKUP($C27,'Motor Database'!$A$3:$K$294,8,FALSE)</f>
        <v>#N/A</v>
      </c>
      <c r="I27" t="e">
        <f>VLOOKUP($C27,'Motor Database'!$A$3:$K$294,9,FALSE)</f>
        <v>#N/A</v>
      </c>
      <c r="J27" t="e">
        <f>VLOOKUP($C27,'Motor Database'!$A$3:$K$294,10,FALSE)</f>
        <v>#N/A</v>
      </c>
      <c r="K27" t="e">
        <f>VLOOKUP($C27,'Motor Database'!$A$3:$K$294,11,FALSE)</f>
        <v>#N/A</v>
      </c>
      <c r="L27" s="2" t="e">
        <f t="shared" si="37"/>
        <v>#N/A</v>
      </c>
      <c r="M27" s="2" t="e">
        <f t="shared" si="40"/>
        <v>#N/A</v>
      </c>
      <c r="N27" s="2" t="e">
        <f t="shared" si="38"/>
        <v>#N/A</v>
      </c>
      <c r="O27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14.711179173432322</v>
      </c>
      <c r="S27" s="7">
        <f t="shared" si="3"/>
        <v>7.4955091876636359</v>
      </c>
      <c r="T27" s="7">
        <f t="shared" si="4"/>
        <v>1.0213646667168432</v>
      </c>
      <c r="U27" s="7">
        <f t="shared" si="5"/>
        <v>10.531951665739472</v>
      </c>
      <c r="V27" s="7">
        <f t="shared" si="6"/>
        <v>6.2466066802870515</v>
      </c>
      <c r="W27" s="7">
        <f t="shared" si="7"/>
        <v>10.695198668361737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12.732395447351628</v>
      </c>
      <c r="AJ27">
        <f t="shared" si="35"/>
        <v>480</v>
      </c>
      <c r="AK27" s="7">
        <f t="shared" si="19"/>
        <v>13.697057991513439</v>
      </c>
      <c r="AL27" s="7">
        <f t="shared" si="20"/>
        <v>7.7688608422019492</v>
      </c>
      <c r="AM27" s="7">
        <f t="shared" si="21"/>
        <v>2.4206109487543999</v>
      </c>
      <c r="AN27" s="7">
        <f t="shared" si="22"/>
        <v>10.24339918120396</v>
      </c>
      <c r="AO27" s="7">
        <f t="shared" si="23"/>
        <v>6.7505528171837721</v>
      </c>
      <c r="AP27" s="7">
        <f t="shared" si="24"/>
        <v>10.733764054172733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">
      <c r="A28" t="s">
        <v>50</v>
      </c>
      <c r="C28" s="28"/>
      <c r="D28" t="e">
        <f>VLOOKUP($C28,'Motor Database'!$A$3:$K$294,4,FALSE)</f>
        <v>#N/A</v>
      </c>
      <c r="E28" t="e">
        <f>VLOOKUP($C28,'Motor Database'!$A$3:$K$294,5,FALSE)</f>
        <v>#N/A</v>
      </c>
      <c r="F28" t="e">
        <f>VLOOKUP($C28,'Motor Database'!$A$3:$K$294,6,FALSE)</f>
        <v>#N/A</v>
      </c>
      <c r="G28" t="e">
        <f>VLOOKUP($C28,'Motor Database'!$A$3:$K$294,7,FALSE)</f>
        <v>#N/A</v>
      </c>
      <c r="H28" t="e">
        <f>VLOOKUP($C28,'Motor Database'!$A$3:$K$294,8,FALSE)</f>
        <v>#N/A</v>
      </c>
      <c r="I28" t="e">
        <f>VLOOKUP($C28,'Motor Database'!$A$3:$K$294,9,FALSE)</f>
        <v>#N/A</v>
      </c>
      <c r="J28" t="e">
        <f>VLOOKUP($C28,'Motor Database'!$A$3:$K$294,10,FALSE)</f>
        <v>#N/A</v>
      </c>
      <c r="K28" t="e">
        <f>VLOOKUP($C28,'Motor Database'!$A$3:$K$294,11,FALSE)</f>
        <v>#N/A</v>
      </c>
      <c r="L28" s="2" t="e">
        <f t="shared" si="37"/>
        <v>#N/A</v>
      </c>
      <c r="M28" s="2" t="e">
        <f t="shared" si="40"/>
        <v>#N/A</v>
      </c>
      <c r="N28" s="2" t="e">
        <f t="shared" si="38"/>
        <v>#N/A</v>
      </c>
      <c r="O28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14.711179173432322</v>
      </c>
      <c r="S28" s="7">
        <f t="shared" si="3"/>
        <v>6.3099664980466965</v>
      </c>
      <c r="T28" s="7">
        <f t="shared" si="4"/>
        <v>-0.10242491958398592</v>
      </c>
      <c r="U28" s="7">
        <f t="shared" si="5"/>
        <v>9.1759376820448555</v>
      </c>
      <c r="V28" s="7">
        <f t="shared" si="6"/>
        <v>5.5765221048122182</v>
      </c>
      <c r="W28" s="7">
        <f t="shared" si="7"/>
        <v>9.2026104120201992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12.732395447351628</v>
      </c>
      <c r="AJ28">
        <f t="shared" si="35"/>
        <v>500</v>
      </c>
      <c r="AK28" s="7">
        <f t="shared" si="19"/>
        <v>14.230268741159833</v>
      </c>
      <c r="AL28" s="7">
        <f t="shared" si="20"/>
        <v>7.0568906603753012</v>
      </c>
      <c r="AM28" s="7">
        <f t="shared" si="21"/>
        <v>1.6138826112448974</v>
      </c>
      <c r="AN28" s="7">
        <f t="shared" si="22"/>
        <v>9.4361654208084875</v>
      </c>
      <c r="AO28" s="7">
        <f t="shared" si="23"/>
        <v>6.4216081591504963</v>
      </c>
      <c r="AP28" s="7">
        <f t="shared" si="24"/>
        <v>9.8429240727739611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">
      <c r="A29" t="s">
        <v>51</v>
      </c>
      <c r="C29" s="28"/>
      <c r="D29" t="e">
        <f>VLOOKUP($C29,'Motor Database'!$A$3:$K$294,4,FALSE)</f>
        <v>#N/A</v>
      </c>
      <c r="E29" t="e">
        <f>VLOOKUP($C29,'Motor Database'!$A$3:$K$294,5,FALSE)</f>
        <v>#N/A</v>
      </c>
      <c r="F29" t="e">
        <f>VLOOKUP($C29,'Motor Database'!$A$3:$K$294,6,FALSE)</f>
        <v>#N/A</v>
      </c>
      <c r="G29" t="e">
        <f>VLOOKUP($C29,'Motor Database'!$A$3:$K$294,7,FALSE)</f>
        <v>#N/A</v>
      </c>
      <c r="H29" t="e">
        <f>VLOOKUP($C29,'Motor Database'!$A$3:$K$294,8,FALSE)</f>
        <v>#N/A</v>
      </c>
      <c r="I29" t="e">
        <f>VLOOKUP($C29,'Motor Database'!$A$3:$K$294,9,FALSE)</f>
        <v>#N/A</v>
      </c>
      <c r="J29" t="e">
        <f>VLOOKUP($C29,'Motor Database'!$A$3:$K$294,10,FALSE)</f>
        <v>#N/A</v>
      </c>
      <c r="K29" t="e">
        <f>VLOOKUP($C29,'Motor Database'!$A$3:$K$294,11,FALSE)</f>
        <v>#N/A</v>
      </c>
      <c r="L29" s="2" t="e">
        <f t="shared" si="37"/>
        <v>#N/A</v>
      </c>
      <c r="M29" s="2" t="e">
        <f t="shared" si="40"/>
        <v>#N/A</v>
      </c>
      <c r="N29" s="2" t="e">
        <f t="shared" si="38"/>
        <v>#N/A</v>
      </c>
      <c r="O29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14.711179173432322</v>
      </c>
      <c r="S29" s="7">
        <f t="shared" si="3"/>
        <v>5.2061176712585073</v>
      </c>
      <c r="T29" s="7">
        <f t="shared" si="4"/>
        <v>-1.1505488309564842</v>
      </c>
      <c r="U29" s="7">
        <f t="shared" si="5"/>
        <v>7.9116048297468193</v>
      </c>
      <c r="V29" s="7">
        <f t="shared" si="6"/>
        <v>4.9545139493776755</v>
      </c>
      <c r="W29" s="7">
        <f t="shared" si="7"/>
        <v>7.811574641605743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12.732395447351628</v>
      </c>
      <c r="AJ29">
        <f t="shared" si="35"/>
        <v>520</v>
      </c>
      <c r="AK29" s="7">
        <f t="shared" si="19"/>
        <v>14.763479490806226</v>
      </c>
      <c r="AL29" s="7">
        <f t="shared" si="20"/>
        <v>6.3534950366160485</v>
      </c>
      <c r="AM29" s="7">
        <f t="shared" si="21"/>
        <v>0.8090233292239597</v>
      </c>
      <c r="AN29" s="7">
        <f t="shared" si="22"/>
        <v>8.6423850096197299</v>
      </c>
      <c r="AO29" s="7">
        <f t="shared" si="23"/>
        <v>6.0994875051648689</v>
      </c>
      <c r="AP29" s="7">
        <f t="shared" si="24"/>
        <v>8.9654187588184158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">
      <c r="P30">
        <f t="shared" si="36"/>
        <v>13.5</v>
      </c>
      <c r="Q30">
        <f t="shared" si="1"/>
        <v>540</v>
      </c>
      <c r="R30" s="7">
        <f t="shared" si="2"/>
        <v>14.711179173432322</v>
      </c>
      <c r="S30" s="7">
        <f t="shared" si="3"/>
        <v>4.1757998603015594</v>
      </c>
      <c r="T30" s="7">
        <f t="shared" si="4"/>
        <v>-2.130400125048169</v>
      </c>
      <c r="U30" s="7">
        <f t="shared" si="5"/>
        <v>6.7299592051720563</v>
      </c>
      <c r="V30" s="7">
        <f t="shared" si="6"/>
        <v>4.3755874013677225</v>
      </c>
      <c r="W30" s="7">
        <f t="shared" si="7"/>
        <v>6.5120682154017402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12.732395447351628</v>
      </c>
      <c r="AJ30">
        <f t="shared" si="35"/>
        <v>540</v>
      </c>
      <c r="AK30" s="7">
        <f t="shared" si="19"/>
        <v>15.296690240452619</v>
      </c>
      <c r="AL30" s="7">
        <f t="shared" si="20"/>
        <v>5.6568276630005103</v>
      </c>
      <c r="AM30" s="7">
        <f t="shared" si="21"/>
        <v>4.990026106719384E-3</v>
      </c>
      <c r="AN30" s="7">
        <f t="shared" si="22"/>
        <v>7.8593824896457933</v>
      </c>
      <c r="AO30" s="7">
        <f t="shared" si="23"/>
        <v>5.7829884386806185</v>
      </c>
      <c r="AP30" s="7">
        <f t="shared" si="24"/>
        <v>8.0985245307531883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">
      <c r="P31">
        <f t="shared" si="36"/>
        <v>14</v>
      </c>
      <c r="Q31">
        <f t="shared" si="1"/>
        <v>560</v>
      </c>
      <c r="R31" s="7">
        <f t="shared" si="2"/>
        <v>14.711179173432322</v>
      </c>
      <c r="S31" s="7">
        <f t="shared" si="3"/>
        <v>3.2119026728311222</v>
      </c>
      <c r="T31" s="7">
        <f t="shared" si="4"/>
        <v>-2.1362830044410592</v>
      </c>
      <c r="U31" s="7">
        <f t="shared" si="5"/>
        <v>5.6231460550883199</v>
      </c>
      <c r="V31" s="7">
        <f t="shared" si="6"/>
        <v>3.835416391556612</v>
      </c>
      <c r="W31" s="7">
        <f t="shared" si="7"/>
        <v>5.2953450118832297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12.732395447351628</v>
      </c>
      <c r="AJ31">
        <f t="shared" si="35"/>
        <v>560</v>
      </c>
      <c r="AK31" s="7">
        <f t="shared" si="19"/>
        <v>15.829900990099011</v>
      </c>
      <c r="AL31" s="7">
        <f t="shared" si="20"/>
        <v>4.965403751401432</v>
      </c>
      <c r="AM31" s="7">
        <f t="shared" si="21"/>
        <v>0</v>
      </c>
      <c r="AN31" s="7">
        <f t="shared" si="22"/>
        <v>7.0849875428097482</v>
      </c>
      <c r="AO31" s="7">
        <f t="shared" si="23"/>
        <v>5.4711333871136123</v>
      </c>
      <c r="AP31" s="7">
        <f t="shared" si="24"/>
        <v>7.240038419875205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">
      <c r="P32">
        <f t="shared" si="36"/>
        <v>14.5</v>
      </c>
      <c r="Q32">
        <f t="shared" si="1"/>
        <v>580</v>
      </c>
      <c r="R32" s="7">
        <f t="shared" si="2"/>
        <v>14.711179173432322</v>
      </c>
      <c r="S32" s="7">
        <f t="shared" si="3"/>
        <v>2.3082038485277425</v>
      </c>
      <c r="T32" s="7">
        <f t="shared" si="4"/>
        <v>-2.1362830044410592</v>
      </c>
      <c r="U32" s="7">
        <f t="shared" si="5"/>
        <v>4.5842749589839329</v>
      </c>
      <c r="V32" s="7">
        <f t="shared" si="6"/>
        <v>3.3302352984249954</v>
      </c>
      <c r="W32" s="7">
        <f t="shared" si="7"/>
        <v>4.1537388307505214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12.732395447351628</v>
      </c>
      <c r="AJ32">
        <f t="shared" si="35"/>
        <v>580</v>
      </c>
      <c r="AK32" s="7">
        <f t="shared" si="19"/>
        <v>16.363111739745403</v>
      </c>
      <c r="AL32" s="7">
        <f t="shared" si="20"/>
        <v>4.2780249125178127</v>
      </c>
      <c r="AM32" s="7">
        <f t="shared" si="21"/>
        <v>0</v>
      </c>
      <c r="AN32" s="7">
        <f t="shared" si="22"/>
        <v>6.3174327371356034</v>
      </c>
      <c r="AO32" s="7">
        <f t="shared" si="23"/>
        <v>5.1631232050604616</v>
      </c>
      <c r="AP32" s="7">
        <f t="shared" si="24"/>
        <v>6.38817174926701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">
      <c r="P33">
        <f t="shared" si="36"/>
        <v>15</v>
      </c>
      <c r="Q33">
        <f t="shared" si="1"/>
        <v>600</v>
      </c>
      <c r="R33" s="7">
        <f t="shared" si="2"/>
        <v>13.834482731880469</v>
      </c>
      <c r="S33" s="7">
        <f t="shared" si="3"/>
        <v>1.4592347915683126</v>
      </c>
      <c r="T33" s="7">
        <f t="shared" si="4"/>
        <v>-2.1362830044410592</v>
      </c>
      <c r="U33" s="7">
        <f t="shared" si="5"/>
        <v>3.6072762463747314</v>
      </c>
      <c r="V33" s="7">
        <f t="shared" si="6"/>
        <v>2.8567510370282307</v>
      </c>
      <c r="W33" s="7">
        <f t="shared" si="7"/>
        <v>3.080501705833901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12.732395447351628</v>
      </c>
      <c r="AJ33">
        <f t="shared" si="35"/>
        <v>600</v>
      </c>
      <c r="AK33" s="7">
        <f t="shared" si="19"/>
        <v>15.979507409594806</v>
      </c>
      <c r="AL33" s="7">
        <f t="shared" si="20"/>
        <v>3.5937209737213096</v>
      </c>
      <c r="AM33" s="7">
        <f t="shared" si="21"/>
        <v>0</v>
      </c>
      <c r="AN33" s="7">
        <f t="shared" si="22"/>
        <v>5.5552738303946194</v>
      </c>
      <c r="AO33" s="7">
        <f t="shared" si="23"/>
        <v>4.8583013188755118</v>
      </c>
      <c r="AP33" s="7">
        <f t="shared" si="24"/>
        <v>5.5414674408296394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">
      <c r="P34">
        <f t="shared" si="36"/>
        <v>15.5</v>
      </c>
      <c r="Q34">
        <f t="shared" si="1"/>
        <v>620</v>
      </c>
      <c r="R34" s="7">
        <f t="shared" si="2"/>
        <v>12.327667823454242</v>
      </c>
      <c r="S34" s="7">
        <f t="shared" si="3"/>
        <v>0.66016981589955748</v>
      </c>
      <c r="T34" s="7">
        <f t="shared" si="4"/>
        <v>-2.1362830044410592</v>
      </c>
      <c r="U34" s="7">
        <f t="shared" si="5"/>
        <v>2.6867823264578861</v>
      </c>
      <c r="V34" s="7">
        <f t="shared" si="6"/>
        <v>2.412071192086549</v>
      </c>
      <c r="W34" s="7">
        <f t="shared" si="7"/>
        <v>2.0696704230028984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12.732395447351628</v>
      </c>
      <c r="AJ34">
        <f t="shared" si="35"/>
        <v>620</v>
      </c>
      <c r="AK34" s="7">
        <f t="shared" si="19"/>
        <v>14.87329173782447</v>
      </c>
      <c r="AL34" s="7">
        <f t="shared" si="20"/>
        <v>2.9117045937191905</v>
      </c>
      <c r="AM34" s="7">
        <f t="shared" si="21"/>
        <v>0</v>
      </c>
      <c r="AN34" s="7">
        <f t="shared" si="22"/>
        <v>4.7973272222644852</v>
      </c>
      <c r="AO34" s="7">
        <f t="shared" si="23"/>
        <v>4.5561258072351256</v>
      </c>
      <c r="AP34" s="7">
        <f t="shared" si="24"/>
        <v>4.6987352474202906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10.905550423210686</v>
      </c>
      <c r="S35" s="7">
        <f t="shared" ref="S35:S66" si="43">SingleCoilTorque($F$15,$G$15,$H$15,$I$15,$J$15,$K$15,$C$2,$M$15,$P35)-$N$15</f>
        <v>-9.3265635992274998E-2</v>
      </c>
      <c r="T35" s="7">
        <f t="shared" ref="T35:T66" si="44">SingleCoilTorque($F$16,$G$16,$H$16,$I$16,$J$16,$K$16,$C$2,$M$16,$P35)-$N$16</f>
        <v>-2.1362830044410592</v>
      </c>
      <c r="U35" s="7">
        <f t="shared" ref="U35:U66" si="45">SingleCoilTorque($F$17,$G$17,$H$17,$I$17,$J$17,$K$17,$C$2,$M$17,$P35)-$N$17</f>
        <v>1.8180290290144958</v>
      </c>
      <c r="V35" s="7">
        <f t="shared" ref="V35:V66" si="46">SingleCoilTorque($F$18,$G$18,$H$18,$I$18,$J$18,$K$18,$C$2,$M$18,$P35)-$N$18</f>
        <v>1.9936448799652058</v>
      </c>
      <c r="W35" s="7">
        <f t="shared" ref="W35:W66" si="47">SingleCoilTorque($F$19,$G$19,$H$19,$I$19,$J$19,$K$19,$C$2,$M$19,$P35)-$N$19</f>
        <v>1.1159556650953948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12.732395447351628</v>
      </c>
      <c r="AJ35">
        <f t="shared" si="35"/>
        <v>640</v>
      </c>
      <c r="AK35" s="7">
        <f t="shared" ref="AK35:AK66" si="59">StepperPower($F$14,$G$14,$H$14,$I$14,$J$14,$K$14,$C$2,$M$14,$P35)</f>
        <v>13.778679703375264</v>
      </c>
      <c r="AL35" s="7">
        <f t="shared" ref="AL35:AL66" si="60">StepperPower($F$15,$G$15,$H$15,$I$15,$J$15,$K$15,$C$2,$M$15,$P35)</f>
        <v>2.2313356239239908</v>
      </c>
      <c r="AM35" s="7">
        <f t="shared" ref="AM35:AM66" si="61">StepperPower($F$16,$G$16,$H$16,$I$16,$J$16,$K$16,$C$2,$M$16,$P35)</f>
        <v>0</v>
      </c>
      <c r="AN35" s="7">
        <f t="shared" ref="AN35:AN66" si="62">StepperPower($F$17,$G$17,$H$17,$I$17,$J$17,$K$17,$C$2,$M$17,$P35)</f>
        <v>4.042620546362893</v>
      </c>
      <c r="AO35" s="7">
        <f t="shared" ref="AO35:AO66" si="63">StepperPower($F$18,$G$18,$H$18,$I$18,$J$18,$K$18,$C$2,$M$18,$P35)</f>
        <v>4.2561474986330694</v>
      </c>
      <c r="AP35" s="7">
        <f t="shared" ref="AP35:AP66" si="64">StepperPower($F$19,$G$19,$H$19,$I$19,$J$19,$K$19,$C$2,$M$19,$P35)</f>
        <v>3.8590006925005205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">
      <c r="P36">
        <f t="shared" si="36"/>
        <v>16.5</v>
      </c>
      <c r="Q36">
        <f t="shared" si="41"/>
        <v>660</v>
      </c>
      <c r="R36" s="7">
        <f t="shared" si="42"/>
        <v>9.5611845240242168</v>
      </c>
      <c r="S36" s="7">
        <f t="shared" si="43"/>
        <v>-0.80487148764520611</v>
      </c>
      <c r="T36" s="7">
        <f t="shared" si="44"/>
        <v>-2.1362830044410592</v>
      </c>
      <c r="U36" s="7">
        <f t="shared" si="45"/>
        <v>0.99677312729451462</v>
      </c>
      <c r="V36" s="7">
        <f t="shared" si="46"/>
        <v>1.5992137847013312</v>
      </c>
      <c r="W36" s="7">
        <f t="shared" si="47"/>
        <v>0.21464943196730646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12.732395447351628</v>
      </c>
      <c r="AJ36">
        <f t="shared" si="35"/>
        <v>660</v>
      </c>
      <c r="AK36" s="7">
        <f t="shared" si="59"/>
        <v>12.69368171241366</v>
      </c>
      <c r="AL36" s="7">
        <f t="shared" si="60"/>
        <v>1.5520929501058938</v>
      </c>
      <c r="AM36" s="7">
        <f t="shared" si="61"/>
        <v>0</v>
      </c>
      <c r="AN36" s="7">
        <f t="shared" si="62"/>
        <v>3.2903534052372083</v>
      </c>
      <c r="AO36" s="7">
        <f t="shared" si="63"/>
        <v>3.9579926691592275</v>
      </c>
      <c r="AP36" s="7">
        <f t="shared" si="64"/>
        <v>3.0214645705469216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">
      <c r="P37">
        <f t="shared" si="36"/>
        <v>17</v>
      </c>
      <c r="Q37">
        <f t="shared" si="41"/>
        <v>680</v>
      </c>
      <c r="R37" s="7">
        <f t="shared" si="42"/>
        <v>8.2883634274786626</v>
      </c>
      <c r="S37" s="7">
        <f t="shared" si="43"/>
        <v>-1.4780371267134722</v>
      </c>
      <c r="T37" s="7">
        <f t="shared" si="44"/>
        <v>-2.1362830044410592</v>
      </c>
      <c r="U37" s="7">
        <f t="shared" si="45"/>
        <v>0.21922302876531763</v>
      </c>
      <c r="V37" s="7">
        <f t="shared" si="46"/>
        <v>1.2267713829424327</v>
      </c>
      <c r="W37" s="7">
        <f t="shared" si="47"/>
        <v>-0.63845268523454557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12.732395447351628</v>
      </c>
      <c r="AJ37">
        <f t="shared" si="35"/>
        <v>680</v>
      </c>
      <c r="AK37" s="7">
        <f t="shared" si="59"/>
        <v>11.616627476185652</v>
      </c>
      <c r="AL37" s="7">
        <f t="shared" si="60"/>
        <v>0.87355211593684501</v>
      </c>
      <c r="AM37" s="7">
        <f t="shared" si="61"/>
        <v>0</v>
      </c>
      <c r="AN37" s="7">
        <f t="shared" si="62"/>
        <v>2.5398659893391597</v>
      </c>
      <c r="AO37" s="7">
        <f t="shared" si="63"/>
        <v>3.6613492851152847</v>
      </c>
      <c r="AP37" s="7">
        <f t="shared" si="64"/>
        <v>2.1854706409208089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">
      <c r="P38">
        <f t="shared" si="36"/>
        <v>17.5</v>
      </c>
      <c r="Q38">
        <f t="shared" si="41"/>
        <v>700</v>
      </c>
      <c r="R38" s="7">
        <f t="shared" si="42"/>
        <v>7.0815239315568217</v>
      </c>
      <c r="S38" s="7">
        <f t="shared" si="43"/>
        <v>-2.1157953887049397</v>
      </c>
      <c r="T38" s="7">
        <f t="shared" si="44"/>
        <v>-2.1362830044410592</v>
      </c>
      <c r="U38" s="7">
        <f t="shared" si="45"/>
        <v>-0.51801975540106637</v>
      </c>
      <c r="V38" s="7">
        <f t="shared" si="46"/>
        <v>0.87452880332544103</v>
      </c>
      <c r="W38" s="7">
        <f t="shared" si="47"/>
        <v>-1.447117083701432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12.732395447351628</v>
      </c>
      <c r="AJ38">
        <f t="shared" si="35"/>
        <v>700</v>
      </c>
      <c r="AK38" s="7">
        <f t="shared" si="59"/>
        <v>10.546111054383665</v>
      </c>
      <c r="AL38" s="7">
        <f t="shared" si="60"/>
        <v>0.19536744557038468</v>
      </c>
      <c r="AM38" s="7">
        <f t="shared" si="61"/>
        <v>0</v>
      </c>
      <c r="AN38" s="7">
        <f t="shared" si="62"/>
        <v>1.7906138640966387</v>
      </c>
      <c r="AO38" s="7">
        <f t="shared" si="63"/>
        <v>3.3659559973102984</v>
      </c>
      <c r="AP38" s="7">
        <f t="shared" si="64"/>
        <v>1.3504797203748891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">
      <c r="P39">
        <f t="shared" si="36"/>
        <v>18</v>
      </c>
      <c r="Q39">
        <f t="shared" si="41"/>
        <v>720</v>
      </c>
      <c r="R39" s="7">
        <f t="shared" si="42"/>
        <v>5.9356650422816752</v>
      </c>
      <c r="S39" s="7">
        <f t="shared" si="43"/>
        <v>-2.2933626371205489</v>
      </c>
      <c r="T39" s="7">
        <f t="shared" si="44"/>
        <v>-2.1362830044410592</v>
      </c>
      <c r="U39" s="7">
        <f t="shared" si="45"/>
        <v>-1.2180102683447345</v>
      </c>
      <c r="V39" s="7">
        <f t="shared" si="46"/>
        <v>0.54088609415528444</v>
      </c>
      <c r="W39" s="7">
        <f t="shared" si="47"/>
        <v>-2.2147277406815178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12.732395447351628</v>
      </c>
      <c r="AJ39">
        <f t="shared" si="35"/>
        <v>720</v>
      </c>
      <c r="AK39" s="7">
        <f t="shared" si="59"/>
        <v>9.480946235153894</v>
      </c>
      <c r="AL39" s="7">
        <f t="shared" si="60"/>
        <v>0</v>
      </c>
      <c r="AM39" s="7">
        <f t="shared" si="61"/>
        <v>0</v>
      </c>
      <c r="AN39" s="7">
        <f t="shared" si="62"/>
        <v>1.0421476122408304</v>
      </c>
      <c r="AO39" s="7">
        <f t="shared" si="63"/>
        <v>3.0715932861359558</v>
      </c>
      <c r="AP39" s="7">
        <f t="shared" si="64"/>
        <v>0.51604880342921389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">
      <c r="P40">
        <f t="shared" si="36"/>
        <v>18.5</v>
      </c>
      <c r="Q40">
        <f t="shared" si="41"/>
        <v>740</v>
      </c>
      <c r="R40" s="7">
        <f t="shared" si="42"/>
        <v>4.8462787040128461</v>
      </c>
      <c r="S40" s="7">
        <f t="shared" si="43"/>
        <v>-2.2933626371205489</v>
      </c>
      <c r="T40" s="7">
        <f t="shared" si="44"/>
        <v>-2.1362830044410592</v>
      </c>
      <c r="U40" s="7">
        <f t="shared" si="45"/>
        <v>-1.8835024234922244</v>
      </c>
      <c r="V40" s="7">
        <f t="shared" si="46"/>
        <v>0.22440792556159872</v>
      </c>
      <c r="W40" s="7">
        <f t="shared" si="47"/>
        <v>-2.6703537555513237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12.732395447351628</v>
      </c>
      <c r="AJ40">
        <f t="shared" si="35"/>
        <v>740</v>
      </c>
      <c r="AK40" s="7">
        <f t="shared" si="59"/>
        <v>8.4201301312545667</v>
      </c>
      <c r="AL40" s="7">
        <f t="shared" si="60"/>
        <v>0</v>
      </c>
      <c r="AM40" s="7">
        <f t="shared" si="61"/>
        <v>0</v>
      </c>
      <c r="AN40" s="7">
        <f t="shared" si="62"/>
        <v>0.29409632004128994</v>
      </c>
      <c r="AO40" s="7">
        <f t="shared" si="63"/>
        <v>2.7780762986919436</v>
      </c>
      <c r="AP40" s="7">
        <f t="shared" si="64"/>
        <v>0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">
      <c r="C41" s="1"/>
      <c r="E41" s="1"/>
      <c r="P41">
        <f t="shared" si="36"/>
        <v>19</v>
      </c>
      <c r="Q41">
        <f t="shared" si="41"/>
        <v>760</v>
      </c>
      <c r="R41" s="7">
        <f t="shared" si="42"/>
        <v>3.8092905251087976</v>
      </c>
      <c r="S41" s="7">
        <f t="shared" si="43"/>
        <v>-2.2933626371205489</v>
      </c>
      <c r="T41" s="7">
        <f t="shared" si="44"/>
        <v>-2.1362830044410592</v>
      </c>
      <c r="U41" s="7">
        <f t="shared" si="45"/>
        <v>-2.1362830044410592</v>
      </c>
      <c r="V41" s="7">
        <f t="shared" si="46"/>
        <v>-7.6197052317048097E-2</v>
      </c>
      <c r="W41" s="7">
        <f t="shared" si="47"/>
        <v>-2.6703537555513237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12.732395447351628</v>
      </c>
      <c r="AJ41">
        <f t="shared" si="35"/>
        <v>760</v>
      </c>
      <c r="AK41" s="7">
        <f t="shared" si="59"/>
        <v>7.3628133432155058</v>
      </c>
      <c r="AL41" s="7">
        <f t="shared" si="60"/>
        <v>0</v>
      </c>
      <c r="AM41" s="7">
        <f t="shared" si="61"/>
        <v>0</v>
      </c>
      <c r="AN41" s="7">
        <f t="shared" si="62"/>
        <v>0</v>
      </c>
      <c r="AO41" s="7">
        <f t="shared" si="63"/>
        <v>2.4852490252401958</v>
      </c>
      <c r="AP41" s="7">
        <f t="shared" si="64"/>
        <v>0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2.8210088557944819</v>
      </c>
      <c r="S42" s="7">
        <f t="shared" si="43"/>
        <v>-2.2933626371205489</v>
      </c>
      <c r="T42" s="7">
        <f t="shared" si="44"/>
        <v>-2.1362830044410592</v>
      </c>
      <c r="U42" s="7">
        <f t="shared" si="45"/>
        <v>-2.1362830044410592</v>
      </c>
      <c r="V42" s="7">
        <f t="shared" si="46"/>
        <v>-0.36209382121765121</v>
      </c>
      <c r="W42" s="7">
        <f t="shared" si="47"/>
        <v>-2.6703537555513237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12.732395447351628</v>
      </c>
      <c r="AJ42">
        <f t="shared" si="35"/>
        <v>780</v>
      </c>
      <c r="AK42" s="7">
        <f t="shared" si="59"/>
        <v>6.3082753989871039</v>
      </c>
      <c r="AL42" s="7">
        <f t="shared" si="60"/>
        <v>0</v>
      </c>
      <c r="AM42" s="7">
        <f t="shared" si="61"/>
        <v>0</v>
      </c>
      <c r="AN42" s="7">
        <f t="shared" si="62"/>
        <v>0</v>
      </c>
      <c r="AO42" s="7">
        <f t="shared" si="63"/>
        <v>2.1929795419323956</v>
      </c>
      <c r="AP42" s="7">
        <f t="shared" si="64"/>
        <v>0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">
      <c r="C43" s="1"/>
      <c r="E43" s="1"/>
      <c r="P43">
        <f t="shared" si="36"/>
        <v>20</v>
      </c>
      <c r="Q43">
        <f t="shared" si="41"/>
        <v>800</v>
      </c>
      <c r="R43" s="7">
        <f t="shared" si="42"/>
        <v>1.8780808767022221</v>
      </c>
      <c r="S43" s="7">
        <f t="shared" si="43"/>
        <v>-2.2933626371205489</v>
      </c>
      <c r="T43" s="7">
        <f t="shared" si="44"/>
        <v>-2.1362830044410592</v>
      </c>
      <c r="U43" s="7">
        <f t="shared" si="45"/>
        <v>-2.1362830044410592</v>
      </c>
      <c r="V43" s="7">
        <f t="shared" si="46"/>
        <v>-0.63433608319217649</v>
      </c>
      <c r="W43" s="7">
        <f t="shared" si="47"/>
        <v>-2.6703537555513237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12.732395447351628</v>
      </c>
      <c r="AJ43">
        <f t="shared" si="35"/>
        <v>800</v>
      </c>
      <c r="AK43" s="7">
        <f t="shared" si="59"/>
        <v>5.2559044542950373</v>
      </c>
      <c r="AL43" s="7">
        <f t="shared" si="60"/>
        <v>0</v>
      </c>
      <c r="AM43" s="7">
        <f t="shared" si="61"/>
        <v>0</v>
      </c>
      <c r="AN43" s="7">
        <f t="shared" si="62"/>
        <v>0</v>
      </c>
      <c r="AO43" s="7">
        <f t="shared" si="63"/>
        <v>1.9011561070680962</v>
      </c>
      <c r="AP43" s="7">
        <f t="shared" si="64"/>
        <v>0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0.9774545972892712</v>
      </c>
      <c r="S44" s="7">
        <f t="shared" si="43"/>
        <v>-2.2933626371205489</v>
      </c>
      <c r="T44" s="7">
        <f t="shared" si="44"/>
        <v>-2.1362830044410592</v>
      </c>
      <c r="U44" s="7">
        <f t="shared" si="45"/>
        <v>-2.1362830044410592</v>
      </c>
      <c r="V44" s="7">
        <f t="shared" si="46"/>
        <v>-0.89387923758514209</v>
      </c>
      <c r="W44" s="7">
        <f t="shared" si="47"/>
        <v>-2.6703537555513237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12.732395447351628</v>
      </c>
      <c r="AJ44">
        <f t="shared" si="35"/>
        <v>820</v>
      </c>
      <c r="AK44" s="7">
        <f t="shared" si="59"/>
        <v>4.2051804497167424</v>
      </c>
      <c r="AL44" s="7">
        <f t="shared" si="60"/>
        <v>0</v>
      </c>
      <c r="AM44" s="7">
        <f t="shared" si="61"/>
        <v>0</v>
      </c>
      <c r="AN44" s="7">
        <f t="shared" si="62"/>
        <v>0</v>
      </c>
      <c r="AO44" s="7">
        <f t="shared" si="63"/>
        <v>1.609683944123161</v>
      </c>
      <c r="AP44" s="7">
        <f t="shared" si="64"/>
        <v>0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">
      <c r="C45" s="1"/>
      <c r="E45" s="1"/>
      <c r="P45">
        <f t="shared" si="36"/>
        <v>21</v>
      </c>
      <c r="Q45">
        <f t="shared" si="41"/>
        <v>840</v>
      </c>
      <c r="R45" s="7">
        <f t="shared" si="42"/>
        <v>0.11634585653778862</v>
      </c>
      <c r="S45" s="7">
        <f t="shared" si="43"/>
        <v>-2.2933626371205489</v>
      </c>
      <c r="T45" s="7">
        <f t="shared" si="44"/>
        <v>-2.1362830044410592</v>
      </c>
      <c r="U45" s="7">
        <f t="shared" si="45"/>
        <v>-2.1362830044410592</v>
      </c>
      <c r="V45" s="7">
        <f t="shared" si="46"/>
        <v>-1.1415915834145522</v>
      </c>
      <c r="W45" s="7">
        <f t="shared" si="47"/>
        <v>-2.6703537555513237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12.732395447351628</v>
      </c>
      <c r="AJ45">
        <f t="shared" si="35"/>
        <v>840</v>
      </c>
      <c r="AK45" s="7">
        <f t="shared" si="59"/>
        <v>3.1556610847746689</v>
      </c>
      <c r="AL45" s="7">
        <f t="shared" si="60"/>
        <v>0</v>
      </c>
      <c r="AM45" s="7">
        <f t="shared" si="61"/>
        <v>0</v>
      </c>
      <c r="AN45" s="7">
        <f t="shared" si="62"/>
        <v>0</v>
      </c>
      <c r="AO45" s="7">
        <f t="shared" si="63"/>
        <v>1.3184825800781466</v>
      </c>
      <c r="AP45" s="7">
        <f t="shared" si="64"/>
        <v>0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-0.7077904257835792</v>
      </c>
      <c r="S46" s="7">
        <f t="shared" si="43"/>
        <v>-2.2933626371205489</v>
      </c>
      <c r="T46" s="7">
        <f t="shared" si="44"/>
        <v>-2.1362830044410592</v>
      </c>
      <c r="U46" s="7">
        <f t="shared" si="45"/>
        <v>-2.1362830044410592</v>
      </c>
      <c r="V46" s="7">
        <f t="shared" si="46"/>
        <v>-1.3782640239684709</v>
      </c>
      <c r="W46" s="7">
        <f t="shared" si="47"/>
        <v>-2.6703537555513237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12.732395447351628</v>
      </c>
      <c r="AJ46">
        <f t="shared" si="35"/>
        <v>860</v>
      </c>
      <c r="AK46" s="7">
        <f t="shared" si="59"/>
        <v>2.1069700974991541</v>
      </c>
      <c r="AL46" s="7">
        <f t="shared" si="60"/>
        <v>0</v>
      </c>
      <c r="AM46" s="7">
        <f t="shared" si="61"/>
        <v>0</v>
      </c>
      <c r="AN46" s="7">
        <f t="shared" si="62"/>
        <v>0</v>
      </c>
      <c r="AO46" s="7">
        <f t="shared" si="63"/>
        <v>1.0274836348309311</v>
      </c>
      <c r="AP46" s="7">
        <f t="shared" si="64"/>
        <v>0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-1.4972853726275122</v>
      </c>
      <c r="S47" s="7">
        <f t="shared" si="43"/>
        <v>-2.2933626371205489</v>
      </c>
      <c r="T47" s="7">
        <f t="shared" si="44"/>
        <v>-2.1362830044410592</v>
      </c>
      <c r="U47" s="7">
        <f t="shared" si="45"/>
        <v>-2.1362830044410592</v>
      </c>
      <c r="V47" s="7">
        <f t="shared" si="46"/>
        <v>-1.6046185021579888</v>
      </c>
      <c r="W47" s="7">
        <f t="shared" si="47"/>
        <v>-2.6703537555513237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12.732395447351628</v>
      </c>
      <c r="AJ47">
        <f t="shared" si="35"/>
        <v>880</v>
      </c>
      <c r="AK47" s="7">
        <f t="shared" si="59"/>
        <v>1.0587874384429601</v>
      </c>
      <c r="AL47" s="7">
        <f t="shared" si="60"/>
        <v>0</v>
      </c>
      <c r="AM47" s="7">
        <f t="shared" si="61"/>
        <v>0</v>
      </c>
      <c r="AN47" s="7">
        <f t="shared" si="62"/>
        <v>0</v>
      </c>
      <c r="AO47" s="7">
        <f t="shared" si="63"/>
        <v>0.73662897865307697</v>
      </c>
      <c r="AP47" s="7">
        <f t="shared" si="64"/>
        <v>0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-2.2542781703009998</v>
      </c>
      <c r="S48" s="7">
        <f t="shared" si="43"/>
        <v>-2.2933626371205489</v>
      </c>
      <c r="T48" s="7">
        <f t="shared" si="44"/>
        <v>-2.1362830044410592</v>
      </c>
      <c r="U48" s="7">
        <f t="shared" si="45"/>
        <v>-2.1362830044410592</v>
      </c>
      <c r="V48" s="7">
        <f t="shared" si="46"/>
        <v>-1.8213153561636615</v>
      </c>
      <c r="W48" s="7">
        <f t="shared" si="47"/>
        <v>-2.6703537555513237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12.732395447351628</v>
      </c>
      <c r="AJ48">
        <f t="shared" si="35"/>
        <v>900</v>
      </c>
      <c r="AK48" s="7">
        <f t="shared" si="59"/>
        <v>1.0841007400336337E-2</v>
      </c>
      <c r="AL48" s="7">
        <f t="shared" si="60"/>
        <v>0</v>
      </c>
      <c r="AM48" s="7">
        <f t="shared" si="61"/>
        <v>0</v>
      </c>
      <c r="AN48" s="7">
        <f t="shared" si="62"/>
        <v>0</v>
      </c>
      <c r="AO48" s="7">
        <f t="shared" si="63"/>
        <v>0.44586919119509177</v>
      </c>
      <c r="AP48" s="7">
        <f t="shared" si="64"/>
        <v>0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">
      <c r="C49" s="1"/>
      <c r="P49">
        <f t="shared" si="36"/>
        <v>23</v>
      </c>
      <c r="Q49">
        <f t="shared" si="41"/>
        <v>920</v>
      </c>
      <c r="R49" s="7">
        <f t="shared" si="42"/>
        <v>-2.2619467105846511</v>
      </c>
      <c r="S49" s="7">
        <f t="shared" si="43"/>
        <v>-2.2933626371205489</v>
      </c>
      <c r="T49" s="7">
        <f t="shared" si="44"/>
        <v>-2.1362830044410592</v>
      </c>
      <c r="U49" s="7">
        <f t="shared" si="45"/>
        <v>-2.1362830044410592</v>
      </c>
      <c r="V49" s="7">
        <f t="shared" si="46"/>
        <v>-2.0289597532410633</v>
      </c>
      <c r="W49" s="7">
        <f t="shared" si="47"/>
        <v>-2.6703537555513237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12.732395447351628</v>
      </c>
      <c r="AJ49">
        <f t="shared" si="35"/>
        <v>920</v>
      </c>
      <c r="AK49" s="7">
        <f t="shared" si="59"/>
        <v>0</v>
      </c>
      <c r="AL49" s="7">
        <f t="shared" si="60"/>
        <v>0</v>
      </c>
      <c r="AM49" s="7">
        <f t="shared" si="61"/>
        <v>0</v>
      </c>
      <c r="AN49" s="7">
        <f t="shared" si="62"/>
        <v>0</v>
      </c>
      <c r="AO49" s="7">
        <f t="shared" si="63"/>
        <v>0.15516226854412715</v>
      </c>
      <c r="AP49" s="7">
        <f t="shared" si="64"/>
        <v>0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">
      <c r="C50" s="1"/>
      <c r="P50">
        <f t="shared" si="36"/>
        <v>23.5</v>
      </c>
      <c r="Q50">
        <f t="shared" si="41"/>
        <v>940</v>
      </c>
      <c r="R50" s="7">
        <f t="shared" si="42"/>
        <v>-2.2619467105846511</v>
      </c>
      <c r="S50" s="7">
        <f t="shared" si="43"/>
        <v>-2.2933626371205489</v>
      </c>
      <c r="T50" s="7">
        <f t="shared" si="44"/>
        <v>-2.1362830044410592</v>
      </c>
      <c r="U50" s="7">
        <f t="shared" si="45"/>
        <v>-2.1362830044410592</v>
      </c>
      <c r="V50" s="7">
        <f t="shared" si="46"/>
        <v>-2.1362830044410592</v>
      </c>
      <c r="W50" s="7">
        <f t="shared" si="47"/>
        <v>-2.6703537555513237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12.732395447351628</v>
      </c>
      <c r="AJ50">
        <f t="shared" si="35"/>
        <v>940</v>
      </c>
      <c r="AK50" s="7">
        <f t="shared" si="59"/>
        <v>0</v>
      </c>
      <c r="AL50" s="7">
        <f t="shared" si="60"/>
        <v>0</v>
      </c>
      <c r="AM50" s="7">
        <f t="shared" si="61"/>
        <v>0</v>
      </c>
      <c r="AN50" s="7">
        <f t="shared" si="62"/>
        <v>0</v>
      </c>
      <c r="AO50" s="7">
        <f t="shared" si="63"/>
        <v>0</v>
      </c>
      <c r="AP50" s="7">
        <f t="shared" si="64"/>
        <v>0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">
      <c r="C51" s="1"/>
      <c r="P51">
        <f t="shared" si="36"/>
        <v>24</v>
      </c>
      <c r="Q51">
        <f t="shared" si="41"/>
        <v>960</v>
      </c>
      <c r="R51" s="7">
        <f t="shared" si="42"/>
        <v>-2.2619467105846511</v>
      </c>
      <c r="S51" s="7">
        <f t="shared" si="43"/>
        <v>-2.2933626371205489</v>
      </c>
      <c r="T51" s="7">
        <f t="shared" si="44"/>
        <v>-2.1362830044410592</v>
      </c>
      <c r="U51" s="7">
        <f t="shared" si="45"/>
        <v>-2.1362830044410592</v>
      </c>
      <c r="V51" s="7">
        <f t="shared" si="46"/>
        <v>-2.1362830044410592</v>
      </c>
      <c r="W51" s="7">
        <f t="shared" si="47"/>
        <v>-2.6703537555513237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12.732395447351628</v>
      </c>
      <c r="AJ51">
        <f t="shared" si="35"/>
        <v>960</v>
      </c>
      <c r="AK51" s="7">
        <f t="shared" si="59"/>
        <v>0</v>
      </c>
      <c r="AL51" s="7">
        <f t="shared" si="60"/>
        <v>0</v>
      </c>
      <c r="AM51" s="7">
        <f t="shared" si="61"/>
        <v>0</v>
      </c>
      <c r="AN51" s="7">
        <f t="shared" si="62"/>
        <v>0</v>
      </c>
      <c r="AO51" s="7">
        <f t="shared" si="63"/>
        <v>0</v>
      </c>
      <c r="AP51" s="7">
        <f t="shared" si="64"/>
        <v>0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">
      <c r="C52" s="1"/>
      <c r="P52">
        <f t="shared" si="36"/>
        <v>24.5</v>
      </c>
      <c r="Q52">
        <f t="shared" si="41"/>
        <v>980</v>
      </c>
      <c r="R52" s="7">
        <f t="shared" si="42"/>
        <v>-2.2619467105846511</v>
      </c>
      <c r="S52" s="7">
        <f t="shared" si="43"/>
        <v>-2.2933626371205489</v>
      </c>
      <c r="T52" s="7">
        <f t="shared" si="44"/>
        <v>-2.1362830044410592</v>
      </c>
      <c r="U52" s="7">
        <f t="shared" si="45"/>
        <v>-2.1362830044410592</v>
      </c>
      <c r="V52" s="7">
        <f t="shared" si="46"/>
        <v>-2.1362830044410592</v>
      </c>
      <c r="W52" s="7">
        <f t="shared" si="47"/>
        <v>-2.6703537555513237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12.732395447351628</v>
      </c>
      <c r="AJ52">
        <f t="shared" si="35"/>
        <v>980</v>
      </c>
      <c r="AK52" s="7">
        <f t="shared" si="59"/>
        <v>0</v>
      </c>
      <c r="AL52" s="7">
        <f t="shared" si="60"/>
        <v>0</v>
      </c>
      <c r="AM52" s="7">
        <f t="shared" si="61"/>
        <v>0</v>
      </c>
      <c r="AN52" s="7">
        <f t="shared" si="62"/>
        <v>0</v>
      </c>
      <c r="AO52" s="7">
        <f t="shared" si="63"/>
        <v>0</v>
      </c>
      <c r="AP52" s="7">
        <f t="shared" si="64"/>
        <v>0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">
      <c r="C53" s="1"/>
      <c r="P53">
        <f t="shared" si="36"/>
        <v>25</v>
      </c>
      <c r="Q53">
        <f t="shared" si="41"/>
        <v>1000</v>
      </c>
      <c r="R53" s="7">
        <f t="shared" si="42"/>
        <v>-2.2619467105846511</v>
      </c>
      <c r="S53" s="7">
        <f t="shared" si="43"/>
        <v>-2.2933626371205489</v>
      </c>
      <c r="T53" s="7">
        <f t="shared" si="44"/>
        <v>-2.1362830044410592</v>
      </c>
      <c r="U53" s="7">
        <f t="shared" si="45"/>
        <v>-2.1362830044410592</v>
      </c>
      <c r="V53" s="7">
        <f t="shared" si="46"/>
        <v>-2.1362830044410592</v>
      </c>
      <c r="W53" s="7">
        <f t="shared" si="47"/>
        <v>-2.6703537555513237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12.732395447351628</v>
      </c>
      <c r="AJ53">
        <f t="shared" si="35"/>
        <v>1000</v>
      </c>
      <c r="AK53" s="7">
        <f t="shared" si="59"/>
        <v>0</v>
      </c>
      <c r="AL53" s="7">
        <f t="shared" si="60"/>
        <v>0</v>
      </c>
      <c r="AM53" s="7">
        <f t="shared" si="61"/>
        <v>0</v>
      </c>
      <c r="AN53" s="7">
        <f t="shared" si="62"/>
        <v>0</v>
      </c>
      <c r="AO53" s="7">
        <f t="shared" si="63"/>
        <v>0</v>
      </c>
      <c r="AP53" s="7">
        <f t="shared" si="64"/>
        <v>0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">
      <c r="C54" s="1"/>
      <c r="P54">
        <f t="shared" si="36"/>
        <v>25.5</v>
      </c>
      <c r="Q54">
        <f t="shared" si="41"/>
        <v>1020</v>
      </c>
      <c r="R54" s="7">
        <f t="shared" si="42"/>
        <v>-2.2619467105846511</v>
      </c>
      <c r="S54" s="7">
        <f t="shared" si="43"/>
        <v>-2.2933626371205489</v>
      </c>
      <c r="T54" s="7">
        <f t="shared" si="44"/>
        <v>-2.1362830044410592</v>
      </c>
      <c r="U54" s="7">
        <f t="shared" si="45"/>
        <v>-2.1362830044410592</v>
      </c>
      <c r="V54" s="7">
        <f t="shared" si="46"/>
        <v>-2.1362830044410592</v>
      </c>
      <c r="W54" s="7">
        <f t="shared" si="47"/>
        <v>-2.6703537555513237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12.732395447351628</v>
      </c>
      <c r="AJ54">
        <f t="shared" si="35"/>
        <v>1020</v>
      </c>
      <c r="AK54" s="7">
        <f t="shared" si="59"/>
        <v>0</v>
      </c>
      <c r="AL54" s="7">
        <f t="shared" si="60"/>
        <v>0</v>
      </c>
      <c r="AM54" s="7">
        <f t="shared" si="61"/>
        <v>0</v>
      </c>
      <c r="AN54" s="7">
        <f t="shared" si="62"/>
        <v>0</v>
      </c>
      <c r="AO54" s="7">
        <f t="shared" si="63"/>
        <v>0</v>
      </c>
      <c r="AP54" s="7">
        <f t="shared" si="64"/>
        <v>0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">
      <c r="C55" s="1"/>
      <c r="P55">
        <f t="shared" si="36"/>
        <v>26</v>
      </c>
      <c r="Q55">
        <f t="shared" si="41"/>
        <v>1040</v>
      </c>
      <c r="R55" s="7">
        <f t="shared" si="42"/>
        <v>-2.2619467105846511</v>
      </c>
      <c r="S55" s="7">
        <f t="shared" si="43"/>
        <v>-2.2933626371205489</v>
      </c>
      <c r="T55" s="7">
        <f t="shared" si="44"/>
        <v>-2.1362830044410592</v>
      </c>
      <c r="U55" s="7">
        <f t="shared" si="45"/>
        <v>-2.1362830044410592</v>
      </c>
      <c r="V55" s="7">
        <f t="shared" si="46"/>
        <v>-2.1362830044410592</v>
      </c>
      <c r="W55" s="7">
        <f t="shared" si="47"/>
        <v>-2.6703537555513237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12.732395447351628</v>
      </c>
      <c r="AJ55">
        <f t="shared" si="35"/>
        <v>1040</v>
      </c>
      <c r="AK55" s="7">
        <f t="shared" si="59"/>
        <v>0</v>
      </c>
      <c r="AL55" s="7">
        <f t="shared" si="60"/>
        <v>0</v>
      </c>
      <c r="AM55" s="7">
        <f t="shared" si="61"/>
        <v>0</v>
      </c>
      <c r="AN55" s="7">
        <f t="shared" si="62"/>
        <v>0</v>
      </c>
      <c r="AO55" s="7">
        <f t="shared" si="63"/>
        <v>0</v>
      </c>
      <c r="AP55" s="7">
        <f t="shared" si="64"/>
        <v>0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">
      <c r="C56" s="1"/>
      <c r="P56">
        <f t="shared" si="36"/>
        <v>26.5</v>
      </c>
      <c r="Q56">
        <f t="shared" si="41"/>
        <v>1060</v>
      </c>
      <c r="R56" s="7">
        <f t="shared" si="42"/>
        <v>-2.2619467105846511</v>
      </c>
      <c r="S56" s="7">
        <f t="shared" si="43"/>
        <v>-2.2933626371205489</v>
      </c>
      <c r="T56" s="7">
        <f t="shared" si="44"/>
        <v>-2.1362830044410592</v>
      </c>
      <c r="U56" s="7">
        <f t="shared" si="45"/>
        <v>-2.1362830044410592</v>
      </c>
      <c r="V56" s="7">
        <f t="shared" si="46"/>
        <v>-2.1362830044410592</v>
      </c>
      <c r="W56" s="7">
        <f t="shared" si="47"/>
        <v>-2.6703537555513237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12.732395447351628</v>
      </c>
      <c r="AJ56">
        <f t="shared" si="35"/>
        <v>1060</v>
      </c>
      <c r="AK56" s="7">
        <f t="shared" si="59"/>
        <v>0</v>
      </c>
      <c r="AL56" s="7">
        <f t="shared" si="60"/>
        <v>0</v>
      </c>
      <c r="AM56" s="7">
        <f t="shared" si="61"/>
        <v>0</v>
      </c>
      <c r="AN56" s="7">
        <f t="shared" si="62"/>
        <v>0</v>
      </c>
      <c r="AO56" s="7">
        <f t="shared" si="63"/>
        <v>0</v>
      </c>
      <c r="AP56" s="7">
        <f t="shared" si="64"/>
        <v>0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">
      <c r="P57">
        <f t="shared" si="36"/>
        <v>27</v>
      </c>
      <c r="Q57">
        <f t="shared" si="41"/>
        <v>1080</v>
      </c>
      <c r="R57" s="7">
        <f t="shared" si="42"/>
        <v>-2.2619467105846511</v>
      </c>
      <c r="S57" s="7">
        <f t="shared" si="43"/>
        <v>-2.2933626371205489</v>
      </c>
      <c r="T57" s="7">
        <f t="shared" si="44"/>
        <v>-2.1362830044410592</v>
      </c>
      <c r="U57" s="7">
        <f t="shared" si="45"/>
        <v>-2.1362830044410592</v>
      </c>
      <c r="V57" s="7">
        <f t="shared" si="46"/>
        <v>-2.1362830044410592</v>
      </c>
      <c r="W57" s="7">
        <f t="shared" si="47"/>
        <v>-2.6703537555513237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12.732395447351628</v>
      </c>
      <c r="AJ57">
        <f t="shared" si="35"/>
        <v>1080</v>
      </c>
      <c r="AK57" s="7">
        <f t="shared" si="59"/>
        <v>0</v>
      </c>
      <c r="AL57" s="7">
        <f t="shared" si="60"/>
        <v>0</v>
      </c>
      <c r="AM57" s="7">
        <f t="shared" si="61"/>
        <v>0</v>
      </c>
      <c r="AN57" s="7">
        <f t="shared" si="62"/>
        <v>0</v>
      </c>
      <c r="AO57" s="7">
        <f t="shared" si="63"/>
        <v>0</v>
      </c>
      <c r="AP57" s="7">
        <f t="shared" si="64"/>
        <v>0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">
      <c r="P58">
        <f t="shared" si="36"/>
        <v>27.5</v>
      </c>
      <c r="Q58">
        <f t="shared" si="41"/>
        <v>1100</v>
      </c>
      <c r="R58" s="7">
        <f t="shared" si="42"/>
        <v>-2.2619467105846511</v>
      </c>
      <c r="S58" s="7">
        <f t="shared" si="43"/>
        <v>-2.2933626371205489</v>
      </c>
      <c r="T58" s="7">
        <f t="shared" si="44"/>
        <v>-2.1362830044410592</v>
      </c>
      <c r="U58" s="7">
        <f t="shared" si="45"/>
        <v>-2.1362830044410592</v>
      </c>
      <c r="V58" s="7">
        <f t="shared" si="46"/>
        <v>-2.1362830044410592</v>
      </c>
      <c r="W58" s="7">
        <f t="shared" si="47"/>
        <v>-2.6703537555513237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12.732395447351628</v>
      </c>
      <c r="AJ58">
        <f t="shared" si="35"/>
        <v>1100</v>
      </c>
      <c r="AK58" s="7">
        <f t="shared" si="59"/>
        <v>0</v>
      </c>
      <c r="AL58" s="7">
        <f t="shared" si="60"/>
        <v>0</v>
      </c>
      <c r="AM58" s="7">
        <f t="shared" si="61"/>
        <v>0</v>
      </c>
      <c r="AN58" s="7">
        <f t="shared" si="62"/>
        <v>0</v>
      </c>
      <c r="AO58" s="7">
        <f t="shared" si="63"/>
        <v>0</v>
      </c>
      <c r="AP58" s="7">
        <f t="shared" si="64"/>
        <v>0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">
      <c r="P59">
        <f t="shared" si="36"/>
        <v>28</v>
      </c>
      <c r="Q59">
        <f t="shared" si="41"/>
        <v>1120</v>
      </c>
      <c r="R59" s="7">
        <f t="shared" si="42"/>
        <v>-2.2619467105846511</v>
      </c>
      <c r="S59" s="7">
        <f t="shared" si="43"/>
        <v>-2.2933626371205489</v>
      </c>
      <c r="T59" s="7">
        <f t="shared" si="44"/>
        <v>-2.1362830044410592</v>
      </c>
      <c r="U59" s="7">
        <f t="shared" si="45"/>
        <v>-2.1362830044410592</v>
      </c>
      <c r="V59" s="7">
        <f t="shared" si="46"/>
        <v>-2.1362830044410592</v>
      </c>
      <c r="W59" s="7">
        <f t="shared" si="47"/>
        <v>-2.6703537555513237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12.732395447351628</v>
      </c>
      <c r="AJ59">
        <f t="shared" si="35"/>
        <v>1120</v>
      </c>
      <c r="AK59" s="7">
        <f t="shared" si="59"/>
        <v>0</v>
      </c>
      <c r="AL59" s="7">
        <f t="shared" si="60"/>
        <v>0</v>
      </c>
      <c r="AM59" s="7">
        <f t="shared" si="61"/>
        <v>0</v>
      </c>
      <c r="AN59" s="7">
        <f t="shared" si="62"/>
        <v>0</v>
      </c>
      <c r="AO59" s="7">
        <f t="shared" si="63"/>
        <v>0</v>
      </c>
      <c r="AP59" s="7">
        <f t="shared" si="64"/>
        <v>0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">
      <c r="P60">
        <f t="shared" si="36"/>
        <v>28.5</v>
      </c>
      <c r="Q60">
        <f t="shared" si="41"/>
        <v>1140</v>
      </c>
      <c r="R60" s="7">
        <f t="shared" si="42"/>
        <v>-2.2619467105846511</v>
      </c>
      <c r="S60" s="7">
        <f t="shared" si="43"/>
        <v>-2.2933626371205489</v>
      </c>
      <c r="T60" s="7">
        <f t="shared" si="44"/>
        <v>-2.1362830044410592</v>
      </c>
      <c r="U60" s="7">
        <f t="shared" si="45"/>
        <v>-2.1362830044410592</v>
      </c>
      <c r="V60" s="7">
        <f t="shared" si="46"/>
        <v>-2.1362830044410592</v>
      </c>
      <c r="W60" s="7">
        <f t="shared" si="47"/>
        <v>-2.6703537555513237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12.732395447351628</v>
      </c>
      <c r="AJ60">
        <f t="shared" si="35"/>
        <v>1140</v>
      </c>
      <c r="AK60" s="7">
        <f t="shared" si="59"/>
        <v>0</v>
      </c>
      <c r="AL60" s="7">
        <f t="shared" si="60"/>
        <v>0</v>
      </c>
      <c r="AM60" s="7">
        <f t="shared" si="61"/>
        <v>0</v>
      </c>
      <c r="AN60" s="7">
        <f t="shared" si="62"/>
        <v>0</v>
      </c>
      <c r="AO60" s="7">
        <f t="shared" si="63"/>
        <v>0</v>
      </c>
      <c r="AP60" s="7">
        <f t="shared" si="64"/>
        <v>0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">
      <c r="P61">
        <f t="shared" si="36"/>
        <v>29</v>
      </c>
      <c r="Q61">
        <f t="shared" si="41"/>
        <v>1160</v>
      </c>
      <c r="R61" s="7">
        <f t="shared" si="42"/>
        <v>-2.2619467105846511</v>
      </c>
      <c r="S61" s="7">
        <f t="shared" si="43"/>
        <v>-2.2933626371205489</v>
      </c>
      <c r="T61" s="7">
        <f t="shared" si="44"/>
        <v>-2.1362830044410592</v>
      </c>
      <c r="U61" s="7">
        <f t="shared" si="45"/>
        <v>-2.1362830044410592</v>
      </c>
      <c r="V61" s="7">
        <f t="shared" si="46"/>
        <v>-2.1362830044410592</v>
      </c>
      <c r="W61" s="7">
        <f t="shared" si="47"/>
        <v>-2.6703537555513237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12.732395447351628</v>
      </c>
      <c r="AJ61">
        <f t="shared" si="35"/>
        <v>1160</v>
      </c>
      <c r="AK61" s="7">
        <f t="shared" si="59"/>
        <v>0</v>
      </c>
      <c r="AL61" s="7">
        <f t="shared" si="60"/>
        <v>0</v>
      </c>
      <c r="AM61" s="7">
        <f t="shared" si="61"/>
        <v>0</v>
      </c>
      <c r="AN61" s="7">
        <f t="shared" si="62"/>
        <v>0</v>
      </c>
      <c r="AO61" s="7">
        <f t="shared" si="63"/>
        <v>0</v>
      </c>
      <c r="AP61" s="7">
        <f t="shared" si="64"/>
        <v>0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">
      <c r="P62">
        <f t="shared" si="36"/>
        <v>29.5</v>
      </c>
      <c r="Q62">
        <f t="shared" si="41"/>
        <v>1180</v>
      </c>
      <c r="R62" s="7">
        <f t="shared" si="42"/>
        <v>-2.2619467105846511</v>
      </c>
      <c r="S62" s="7">
        <f t="shared" si="43"/>
        <v>-2.2933626371205489</v>
      </c>
      <c r="T62" s="7">
        <f t="shared" si="44"/>
        <v>-2.1362830044410592</v>
      </c>
      <c r="U62" s="7">
        <f t="shared" si="45"/>
        <v>-2.1362830044410592</v>
      </c>
      <c r="V62" s="7">
        <f t="shared" si="46"/>
        <v>-2.1362830044410592</v>
      </c>
      <c r="W62" s="7">
        <f t="shared" si="47"/>
        <v>-2.6703537555513237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12.732395447351628</v>
      </c>
      <c r="AJ62">
        <f t="shared" si="35"/>
        <v>1180</v>
      </c>
      <c r="AK62" s="7">
        <f t="shared" si="59"/>
        <v>0</v>
      </c>
      <c r="AL62" s="7">
        <f t="shared" si="60"/>
        <v>0</v>
      </c>
      <c r="AM62" s="7">
        <f t="shared" si="61"/>
        <v>0</v>
      </c>
      <c r="AN62" s="7">
        <f t="shared" si="62"/>
        <v>0</v>
      </c>
      <c r="AO62" s="7">
        <f t="shared" si="63"/>
        <v>0</v>
      </c>
      <c r="AP62" s="7">
        <f t="shared" si="64"/>
        <v>0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">
      <c r="P63">
        <f t="shared" si="36"/>
        <v>30</v>
      </c>
      <c r="Q63">
        <f t="shared" si="41"/>
        <v>1200</v>
      </c>
      <c r="R63" s="7">
        <f t="shared" si="42"/>
        <v>-2.2619467105846511</v>
      </c>
      <c r="S63" s="7">
        <f t="shared" si="43"/>
        <v>-2.2933626371205489</v>
      </c>
      <c r="T63" s="7">
        <f t="shared" si="44"/>
        <v>-2.1362830044410592</v>
      </c>
      <c r="U63" s="7">
        <f t="shared" si="45"/>
        <v>-2.1362830044410592</v>
      </c>
      <c r="V63" s="7">
        <f t="shared" si="46"/>
        <v>-2.1362830044410592</v>
      </c>
      <c r="W63" s="7">
        <f t="shared" si="47"/>
        <v>-2.6703537555513237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12.732395447351628</v>
      </c>
      <c r="AJ63">
        <f t="shared" si="35"/>
        <v>1200</v>
      </c>
      <c r="AK63" s="7">
        <f t="shared" si="59"/>
        <v>0</v>
      </c>
      <c r="AL63" s="7">
        <f t="shared" si="60"/>
        <v>0</v>
      </c>
      <c r="AM63" s="7">
        <f t="shared" si="61"/>
        <v>0</v>
      </c>
      <c r="AN63" s="7">
        <f t="shared" si="62"/>
        <v>0</v>
      </c>
      <c r="AO63" s="7">
        <f t="shared" si="63"/>
        <v>0</v>
      </c>
      <c r="AP63" s="7">
        <f t="shared" si="64"/>
        <v>0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">
      <c r="P64">
        <f t="shared" si="36"/>
        <v>30.5</v>
      </c>
      <c r="Q64">
        <f t="shared" si="41"/>
        <v>1220</v>
      </c>
      <c r="R64" s="7">
        <f t="shared" si="42"/>
        <v>-2.2619467105846511</v>
      </c>
      <c r="S64" s="7">
        <f t="shared" si="43"/>
        <v>-2.2933626371205489</v>
      </c>
      <c r="T64" s="7">
        <f t="shared" si="44"/>
        <v>-2.1362830044410592</v>
      </c>
      <c r="U64" s="7">
        <f t="shared" si="45"/>
        <v>-2.1362830044410592</v>
      </c>
      <c r="V64" s="7">
        <f t="shared" si="46"/>
        <v>-2.1362830044410592</v>
      </c>
      <c r="W64" s="7">
        <f t="shared" si="47"/>
        <v>-2.6703537555513237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12.732395447351628</v>
      </c>
      <c r="AJ64">
        <f t="shared" si="35"/>
        <v>1220</v>
      </c>
      <c r="AK64" s="7">
        <f t="shared" si="59"/>
        <v>0</v>
      </c>
      <c r="AL64" s="7">
        <f t="shared" si="60"/>
        <v>0</v>
      </c>
      <c r="AM64" s="7">
        <f t="shared" si="61"/>
        <v>0</v>
      </c>
      <c r="AN64" s="7">
        <f t="shared" si="62"/>
        <v>0</v>
      </c>
      <c r="AO64" s="7">
        <f t="shared" si="63"/>
        <v>0</v>
      </c>
      <c r="AP64" s="7">
        <f t="shared" si="64"/>
        <v>0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">
      <c r="P65">
        <f t="shared" si="36"/>
        <v>31</v>
      </c>
      <c r="Q65">
        <f t="shared" si="41"/>
        <v>1240</v>
      </c>
      <c r="R65" s="7">
        <f t="shared" si="42"/>
        <v>-2.2619467105846511</v>
      </c>
      <c r="S65" s="7">
        <f t="shared" si="43"/>
        <v>-2.2933626371205489</v>
      </c>
      <c r="T65" s="7">
        <f t="shared" si="44"/>
        <v>-2.1362830044410592</v>
      </c>
      <c r="U65" s="7">
        <f t="shared" si="45"/>
        <v>-2.1362830044410592</v>
      </c>
      <c r="V65" s="7">
        <f t="shared" si="46"/>
        <v>-2.1362830044410592</v>
      </c>
      <c r="W65" s="7">
        <f t="shared" si="47"/>
        <v>-2.6703537555513237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12.732395447351628</v>
      </c>
      <c r="AJ65">
        <f t="shared" si="35"/>
        <v>1240</v>
      </c>
      <c r="AK65" s="7">
        <f t="shared" si="59"/>
        <v>0</v>
      </c>
      <c r="AL65" s="7">
        <f t="shared" si="60"/>
        <v>0</v>
      </c>
      <c r="AM65" s="7">
        <f t="shared" si="61"/>
        <v>0</v>
      </c>
      <c r="AN65" s="7">
        <f t="shared" si="62"/>
        <v>0</v>
      </c>
      <c r="AO65" s="7">
        <f t="shared" si="63"/>
        <v>0</v>
      </c>
      <c r="AP65" s="7">
        <f t="shared" si="64"/>
        <v>0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">
      <c r="P66">
        <f t="shared" si="36"/>
        <v>31.5</v>
      </c>
      <c r="Q66">
        <f t="shared" si="41"/>
        <v>1260</v>
      </c>
      <c r="R66" s="7">
        <f t="shared" si="42"/>
        <v>-2.2619467105846511</v>
      </c>
      <c r="S66" s="7">
        <f t="shared" si="43"/>
        <v>-2.2933626371205489</v>
      </c>
      <c r="T66" s="7">
        <f t="shared" si="44"/>
        <v>-2.1362830044410592</v>
      </c>
      <c r="U66" s="7">
        <f t="shared" si="45"/>
        <v>-2.1362830044410592</v>
      </c>
      <c r="V66" s="7">
        <f t="shared" si="46"/>
        <v>-2.1362830044410592</v>
      </c>
      <c r="W66" s="7">
        <f t="shared" si="47"/>
        <v>-2.6703537555513237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12.732395447351628</v>
      </c>
      <c r="AJ66">
        <f t="shared" si="35"/>
        <v>1260</v>
      </c>
      <c r="AK66" s="7">
        <f t="shared" si="59"/>
        <v>0</v>
      </c>
      <c r="AL66" s="7">
        <f t="shared" si="60"/>
        <v>0</v>
      </c>
      <c r="AM66" s="7">
        <f t="shared" si="61"/>
        <v>0</v>
      </c>
      <c r="AN66" s="7">
        <f t="shared" si="62"/>
        <v>0</v>
      </c>
      <c r="AO66" s="7">
        <f t="shared" si="63"/>
        <v>0</v>
      </c>
      <c r="AP66" s="7">
        <f t="shared" si="64"/>
        <v>0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">
      <c r="P67">
        <f t="shared" si="36"/>
        <v>32</v>
      </c>
      <c r="Q67">
        <f t="shared" ref="Q67:Q98" si="75">P67*$C$6*2/$C$7</f>
        <v>1280</v>
      </c>
      <c r="R67" s="7">
        <f t="shared" ref="R67:R103" si="76">SingleCoilTorque($F$14,$G$14,$H$14,$I$14,$J$14,$K$14,$C$2,$M$14,$P67)-$N$14</f>
        <v>-2.2619467105846511</v>
      </c>
      <c r="S67" s="7">
        <f t="shared" ref="S67:S103" si="77">SingleCoilTorque($F$15,$G$15,$H$15,$I$15,$J$15,$K$15,$C$2,$M$15,$P67)-$N$15</f>
        <v>-2.2933626371205489</v>
      </c>
      <c r="T67" s="7">
        <f t="shared" ref="T67:T103" si="78">SingleCoilTorque($F$16,$G$16,$H$16,$I$16,$J$16,$K$16,$C$2,$M$16,$P67)-$N$16</f>
        <v>-2.1362830044410592</v>
      </c>
      <c r="U67" s="7">
        <f t="shared" ref="U67:U103" si="79">SingleCoilTorque($F$17,$G$17,$H$17,$I$17,$J$17,$K$17,$C$2,$M$17,$P67)-$N$17</f>
        <v>-2.1362830044410592</v>
      </c>
      <c r="V67" s="7">
        <f t="shared" ref="V67:V103" si="80">SingleCoilTorque($F$18,$G$18,$H$18,$I$18,$J$18,$K$18,$C$2,$M$18,$P67)-$N$18</f>
        <v>-2.1362830044410592</v>
      </c>
      <c r="W67" s="7">
        <f t="shared" ref="W67:W103" si="81">SingleCoilTorque($F$19,$G$19,$H$19,$I$19,$J$19,$K$19,$C$2,$M$19,$P67)-$N$19</f>
        <v>-2.6703537555513237</v>
      </c>
      <c r="X67" s="7" t="e">
        <f t="shared" ref="X67:X103" si="82">SingleCoilTorque($F$20,$G$20,$H$20,$I$20,$J$20,$K$20,$C$2,$M$20,$P67)-$N$20</f>
        <v>#VALUE!</v>
      </c>
      <c r="Y67" s="7" t="e">
        <f t="shared" ref="Y67:Y103" si="83">SingleCoilTorque($F$21,$G$21,$H$21,$I$21,$J$21,$K$21,$C$2,$M$21,$P67)-$N$21</f>
        <v>#VALUE!</v>
      </c>
      <c r="Z67" s="7" t="e">
        <f t="shared" ref="Z67:Z103" si="84">SingleCoilTorque($F$22,$G$22,$H$22,$I$22,$J$22,$K$22,$C$2,$M$22,$P67)-$N$22</f>
        <v>#VALUE!</v>
      </c>
      <c r="AA67" s="7" t="e">
        <f t="shared" ref="AA67:AA103" si="85">SingleCoilTorque($F$23,$G$23,$H$23,$I$23,$J$23,$K$23,$C$2,$M$23,$P67)-$N$23</f>
        <v>#VALUE!</v>
      </c>
      <c r="AB67" s="7" t="e">
        <f t="shared" ref="AB67:AB103" si="86">SingleCoilTorque($F$24,$G$24,$H$24,$I$24,$J$24,$K$24,$C$2,$M$24,$P67)-$N$24</f>
        <v>#VALUE!</v>
      </c>
      <c r="AC67" s="7" t="e">
        <f t="shared" ref="AC67:AC103" si="87">SingleCoilTorque($F$25,$G$25,$H$25,$I$25,$J$25,$K$25,$C$2,$M$25,$P67)-$N$25</f>
        <v>#VALUE!</v>
      </c>
      <c r="AD67" s="7" t="e">
        <f t="shared" ref="AD67:AD103" si="88">SingleCoilTorque($F$26,$G$26,$H$26,$I$26,$J$26,$K$26,$C$2,$M$26,$P67)-$N$26</f>
        <v>#VALUE!</v>
      </c>
      <c r="AE67" s="7" t="e">
        <f t="shared" ref="AE67:AE103" si="89">SingleCoilTorque($F$27,$G$27,$H$27,$I$27,$J$27,$K$27,$C$2,$M$27,$P67)-$N$27</f>
        <v>#VALUE!</v>
      </c>
      <c r="AF67" s="7" t="e">
        <f t="shared" ref="AF67:AF103" si="90">SingleCoilTorque($F$28,$G$28,$H$28,$I$28,$J$28,$K$28,$C$2,$M$28,$P67)-$N$28</f>
        <v>#VALUE!</v>
      </c>
      <c r="AG67" s="7" t="e">
        <f t="shared" ref="AG67:AG103" si="91">SingleCoilTorque($F$29,$G$29,$H$29,$I$29,$J$29,$K$29,$C$2,$M$29,$P67)-$N$29</f>
        <v>#VALUE!</v>
      </c>
      <c r="AH67" s="7">
        <f t="shared" si="58"/>
        <v>12.732395447351628</v>
      </c>
      <c r="AJ67">
        <f t="shared" si="35"/>
        <v>1280</v>
      </c>
      <c r="AK67" s="7">
        <f t="shared" ref="AK67:AK103" si="92">StepperPower($F$14,$G$14,$H$14,$I$14,$J$14,$K$14,$C$2,$M$14,$P67)</f>
        <v>0</v>
      </c>
      <c r="AL67" s="7">
        <f t="shared" ref="AL67:AL103" si="93">StepperPower($F$15,$G$15,$H$15,$I$15,$J$15,$K$15,$C$2,$M$15,$P67)</f>
        <v>0</v>
      </c>
      <c r="AM67" s="7">
        <f t="shared" ref="AM67:AM103" si="94">StepperPower($F$16,$G$16,$H$16,$I$16,$J$16,$K$16,$C$2,$M$16,$P67)</f>
        <v>0</v>
      </c>
      <c r="AN67" s="7">
        <f t="shared" ref="AN67:AN103" si="95">StepperPower($F$17,$G$17,$H$17,$I$17,$J$17,$K$17,$C$2,$M$17,$P67)</f>
        <v>0</v>
      </c>
      <c r="AO67" s="7">
        <f t="shared" ref="AO67:AO103" si="96">StepperPower($F$18,$G$18,$H$18,$I$18,$J$18,$K$18,$C$2,$M$18,$P67)</f>
        <v>0</v>
      </c>
      <c r="AP67" s="7">
        <f t="shared" ref="AP67:AP103" si="97">StepperPower($F$19,$G$19,$H$19,$I$19,$J$19,$K$19,$C$2,$M$19,$P67)</f>
        <v>0</v>
      </c>
      <c r="AQ67" s="7" t="e">
        <f t="shared" ref="AQ67:AQ103" si="98">StepperPower($F$20,$G$20,$H$20,$I$20,$J$20,$K$20,$C$2,$M$20,$P67)</f>
        <v>#VALUE!</v>
      </c>
      <c r="AR67" s="7" t="e">
        <f t="shared" ref="AR67:AR103" si="99">StepperPower($F$21,$G$21,$H$21,$I$21,$J$21,$K$21,$C$2,$M$21,$P67)</f>
        <v>#VALUE!</v>
      </c>
      <c r="AS67" s="7" t="e">
        <f t="shared" ref="AS67:AS103" si="100">StepperPower($F$22,$G$22,$H$22,$I$22,$J$22,$K$22,$C$2,$M$22,$P67)</f>
        <v>#VALUE!</v>
      </c>
      <c r="AT67" s="7" t="e">
        <f t="shared" ref="AT67:AT103" si="101">StepperPower($F$23,$G$23,$H$23,$I$23,$J$23,$K$23,$C$2,$M$23,$P67)</f>
        <v>#VALUE!</v>
      </c>
      <c r="AU67" s="7" t="e">
        <f t="shared" ref="AU67:AU103" si="102">StepperPower($F$24,$G$24,$H$24,$I$24,$J$24,$K$24,$C$2,$M$24,$P67)</f>
        <v>#VALUE!</v>
      </c>
      <c r="AV67" s="7" t="e">
        <f t="shared" ref="AV67:AV103" si="103">StepperPower($F$25,$G$25,$H$25,$I$25,$J$25,$K$25,$C$2,$M$25,$P67)</f>
        <v>#VALUE!</v>
      </c>
      <c r="AW67" s="7" t="e">
        <f t="shared" ref="AW67:AW103" si="104">StepperPower($F$26,$G$26,$H$26,$I$26,$J$26,$K$26,$C$2,$M$26,$P67)</f>
        <v>#VALUE!</v>
      </c>
      <c r="AX67" s="7" t="e">
        <f t="shared" ref="AX67:AX103" si="105">StepperPower($F$27,$G$27,$H$27,$I$27,$J$27,$K$27,$C$2,$M$27,$P67)</f>
        <v>#VALUE!</v>
      </c>
      <c r="AY67" s="7" t="e">
        <f t="shared" ref="AY67:AY103" si="106">StepperPower($F$28,$G$28,$H$28,$I$28,$J$28,$K$28,$C$2,$M$28,$P67)</f>
        <v>#VALUE!</v>
      </c>
      <c r="AZ67" s="7" t="e">
        <f t="shared" ref="AZ67:AZ103" si="107">StepperPower($F$29,$G$29,$H$29,$I$29,$J$29,$K$29,$C$2,$M$29,$P67)</f>
        <v>#VALUE!</v>
      </c>
      <c r="BA67" s="7"/>
    </row>
    <row r="68" spans="16:53" x14ac:dyDescent="0.2">
      <c r="P68">
        <f t="shared" si="36"/>
        <v>32.5</v>
      </c>
      <c r="Q68">
        <f t="shared" si="75"/>
        <v>1300</v>
      </c>
      <c r="R68" s="7">
        <f t="shared" si="76"/>
        <v>-2.2619467105846511</v>
      </c>
      <c r="S68" s="7">
        <f t="shared" si="77"/>
        <v>-2.2933626371205489</v>
      </c>
      <c r="T68" s="7">
        <f t="shared" si="78"/>
        <v>-2.1362830044410592</v>
      </c>
      <c r="U68" s="7">
        <f t="shared" si="79"/>
        <v>-2.1362830044410592</v>
      </c>
      <c r="V68" s="7">
        <f t="shared" si="80"/>
        <v>-2.1362830044410592</v>
      </c>
      <c r="W68" s="7">
        <f t="shared" si="81"/>
        <v>-2.6703537555513237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3" si="108">$C$11</f>
        <v>12.732395447351628</v>
      </c>
      <c r="AJ68">
        <f t="shared" ref="AJ68:AJ102" si="109">Q68</f>
        <v>1300</v>
      </c>
      <c r="AK68" s="7">
        <f t="shared" si="92"/>
        <v>0</v>
      </c>
      <c r="AL68" s="7">
        <f t="shared" si="93"/>
        <v>0</v>
      </c>
      <c r="AM68" s="7">
        <f t="shared" si="94"/>
        <v>0</v>
      </c>
      <c r="AN68" s="7">
        <f t="shared" si="95"/>
        <v>0</v>
      </c>
      <c r="AO68" s="7">
        <f t="shared" si="96"/>
        <v>0</v>
      </c>
      <c r="AP68" s="7">
        <f t="shared" si="97"/>
        <v>0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">
      <c r="P69">
        <f t="shared" ref="P69:P103" si="110">P68+0.5</f>
        <v>33</v>
      </c>
      <c r="Q69">
        <f t="shared" si="75"/>
        <v>1320</v>
      </c>
      <c r="R69" s="7">
        <f t="shared" si="76"/>
        <v>-2.2619467105846511</v>
      </c>
      <c r="S69" s="7">
        <f t="shared" si="77"/>
        <v>-2.2933626371205489</v>
      </c>
      <c r="T69" s="7">
        <f t="shared" si="78"/>
        <v>-2.1362830044410592</v>
      </c>
      <c r="U69" s="7">
        <f t="shared" si="79"/>
        <v>-2.1362830044410592</v>
      </c>
      <c r="V69" s="7">
        <f t="shared" si="80"/>
        <v>-2.1362830044410592</v>
      </c>
      <c r="W69" s="7">
        <f t="shared" si="81"/>
        <v>-2.6703537555513237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8"/>
        <v>12.732395447351628</v>
      </c>
      <c r="AJ69">
        <f t="shared" si="109"/>
        <v>1320</v>
      </c>
      <c r="AK69" s="7">
        <f t="shared" si="92"/>
        <v>0</v>
      </c>
      <c r="AL69" s="7">
        <f t="shared" si="93"/>
        <v>0</v>
      </c>
      <c r="AM69" s="7">
        <f t="shared" si="94"/>
        <v>0</v>
      </c>
      <c r="AN69" s="7">
        <f t="shared" si="95"/>
        <v>0</v>
      </c>
      <c r="AO69" s="7">
        <f t="shared" si="96"/>
        <v>0</v>
      </c>
      <c r="AP69" s="7">
        <f t="shared" si="97"/>
        <v>0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">
      <c r="P70">
        <f t="shared" si="110"/>
        <v>33.5</v>
      </c>
      <c r="Q70">
        <f t="shared" si="75"/>
        <v>1340</v>
      </c>
      <c r="R70" s="7">
        <f t="shared" si="76"/>
        <v>-2.2619467105846511</v>
      </c>
      <c r="S70" s="7">
        <f t="shared" si="77"/>
        <v>-2.2933626371205489</v>
      </c>
      <c r="T70" s="7">
        <f t="shared" si="78"/>
        <v>-2.1362830044410592</v>
      </c>
      <c r="U70" s="7">
        <f t="shared" si="79"/>
        <v>-2.1362830044410592</v>
      </c>
      <c r="V70" s="7">
        <f t="shared" si="80"/>
        <v>-2.1362830044410592</v>
      </c>
      <c r="W70" s="7">
        <f t="shared" si="81"/>
        <v>-2.6703537555513237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8"/>
        <v>12.732395447351628</v>
      </c>
      <c r="AJ70">
        <f t="shared" si="109"/>
        <v>1340</v>
      </c>
      <c r="AK70" s="7">
        <f t="shared" si="92"/>
        <v>0</v>
      </c>
      <c r="AL70" s="7">
        <f t="shared" si="93"/>
        <v>0</v>
      </c>
      <c r="AM70" s="7">
        <f t="shared" si="94"/>
        <v>0</v>
      </c>
      <c r="AN70" s="7">
        <f t="shared" si="95"/>
        <v>0</v>
      </c>
      <c r="AO70" s="7">
        <f t="shared" si="96"/>
        <v>0</v>
      </c>
      <c r="AP70" s="7">
        <f t="shared" si="97"/>
        <v>0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">
      <c r="P71">
        <f t="shared" si="110"/>
        <v>34</v>
      </c>
      <c r="Q71">
        <f t="shared" si="75"/>
        <v>1360</v>
      </c>
      <c r="R71" s="7">
        <f t="shared" si="76"/>
        <v>-2.2619467105846511</v>
      </c>
      <c r="S71" s="7">
        <f t="shared" si="77"/>
        <v>-2.2933626371205489</v>
      </c>
      <c r="T71" s="7">
        <f t="shared" si="78"/>
        <v>-2.1362830044410592</v>
      </c>
      <c r="U71" s="7">
        <f t="shared" si="79"/>
        <v>-2.1362830044410592</v>
      </c>
      <c r="V71" s="7">
        <f t="shared" si="80"/>
        <v>-2.1362830044410592</v>
      </c>
      <c r="W71" s="7">
        <f t="shared" si="81"/>
        <v>-2.6703537555513237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8"/>
        <v>12.732395447351628</v>
      </c>
      <c r="AJ71">
        <f t="shared" si="109"/>
        <v>1360</v>
      </c>
      <c r="AK71" s="7">
        <f t="shared" si="92"/>
        <v>0</v>
      </c>
      <c r="AL71" s="7">
        <f t="shared" si="93"/>
        <v>0</v>
      </c>
      <c r="AM71" s="7">
        <f t="shared" si="94"/>
        <v>0</v>
      </c>
      <c r="AN71" s="7">
        <f t="shared" si="95"/>
        <v>0</v>
      </c>
      <c r="AO71" s="7">
        <f t="shared" si="96"/>
        <v>0</v>
      </c>
      <c r="AP71" s="7">
        <f t="shared" si="97"/>
        <v>0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">
      <c r="P72">
        <f t="shared" si="110"/>
        <v>34.5</v>
      </c>
      <c r="Q72">
        <f t="shared" si="75"/>
        <v>1380</v>
      </c>
      <c r="R72" s="7">
        <f t="shared" si="76"/>
        <v>-2.2619467105846511</v>
      </c>
      <c r="S72" s="7">
        <f t="shared" si="77"/>
        <v>-2.2933626371205489</v>
      </c>
      <c r="T72" s="7">
        <f t="shared" si="78"/>
        <v>-2.1362830044410592</v>
      </c>
      <c r="U72" s="7">
        <f t="shared" si="79"/>
        <v>-2.1362830044410592</v>
      </c>
      <c r="V72" s="7">
        <f t="shared" si="80"/>
        <v>-2.1362830044410592</v>
      </c>
      <c r="W72" s="7">
        <f t="shared" si="81"/>
        <v>-2.6703537555513237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8"/>
        <v>12.732395447351628</v>
      </c>
      <c r="AJ72">
        <f t="shared" si="109"/>
        <v>1380</v>
      </c>
      <c r="AK72" s="7">
        <f t="shared" si="92"/>
        <v>0</v>
      </c>
      <c r="AL72" s="7">
        <f t="shared" si="93"/>
        <v>0</v>
      </c>
      <c r="AM72" s="7">
        <f t="shared" si="94"/>
        <v>0</v>
      </c>
      <c r="AN72" s="7">
        <f t="shared" si="95"/>
        <v>0</v>
      </c>
      <c r="AO72" s="7">
        <f t="shared" si="96"/>
        <v>0</v>
      </c>
      <c r="AP72" s="7">
        <f t="shared" si="97"/>
        <v>0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">
      <c r="P73">
        <f t="shared" si="110"/>
        <v>35</v>
      </c>
      <c r="Q73">
        <f t="shared" si="75"/>
        <v>1400</v>
      </c>
      <c r="R73" s="7">
        <f t="shared" si="76"/>
        <v>-2.2619467105846511</v>
      </c>
      <c r="S73" s="7">
        <f t="shared" si="77"/>
        <v>-2.2933626371205489</v>
      </c>
      <c r="T73" s="7">
        <f t="shared" si="78"/>
        <v>-2.1362830044410592</v>
      </c>
      <c r="U73" s="7">
        <f t="shared" si="79"/>
        <v>-2.1362830044410592</v>
      </c>
      <c r="V73" s="7">
        <f t="shared" si="80"/>
        <v>-2.1362830044410592</v>
      </c>
      <c r="W73" s="7">
        <f t="shared" si="81"/>
        <v>-2.6703537555513237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8"/>
        <v>12.732395447351628</v>
      </c>
      <c r="AJ73">
        <f t="shared" si="109"/>
        <v>1400</v>
      </c>
      <c r="AK73" s="7">
        <f t="shared" si="92"/>
        <v>0</v>
      </c>
      <c r="AL73" s="7">
        <f t="shared" si="93"/>
        <v>0</v>
      </c>
      <c r="AM73" s="7">
        <f t="shared" si="94"/>
        <v>0</v>
      </c>
      <c r="AN73" s="7">
        <f t="shared" si="95"/>
        <v>0</v>
      </c>
      <c r="AO73" s="7">
        <f t="shared" si="96"/>
        <v>0</v>
      </c>
      <c r="AP73" s="7">
        <f t="shared" si="97"/>
        <v>0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">
      <c r="P74">
        <f t="shared" si="110"/>
        <v>35.5</v>
      </c>
      <c r="Q74">
        <f t="shared" si="75"/>
        <v>1420</v>
      </c>
      <c r="R74" s="7">
        <f t="shared" si="76"/>
        <v>-2.2619467105846511</v>
      </c>
      <c r="S74" s="7">
        <f t="shared" si="77"/>
        <v>-2.2933626371205489</v>
      </c>
      <c r="T74" s="7">
        <f t="shared" si="78"/>
        <v>-2.1362830044410592</v>
      </c>
      <c r="U74" s="7">
        <f t="shared" si="79"/>
        <v>-2.1362830044410592</v>
      </c>
      <c r="V74" s="7">
        <f t="shared" si="80"/>
        <v>-2.1362830044410592</v>
      </c>
      <c r="W74" s="7">
        <f t="shared" si="81"/>
        <v>-2.6703537555513237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8"/>
        <v>12.732395447351628</v>
      </c>
      <c r="AJ74">
        <f t="shared" si="109"/>
        <v>1420</v>
      </c>
      <c r="AK74" s="7">
        <f t="shared" si="92"/>
        <v>0</v>
      </c>
      <c r="AL74" s="7">
        <f t="shared" si="93"/>
        <v>0</v>
      </c>
      <c r="AM74" s="7">
        <f t="shared" si="94"/>
        <v>0</v>
      </c>
      <c r="AN74" s="7">
        <f t="shared" si="95"/>
        <v>0</v>
      </c>
      <c r="AO74" s="7">
        <f t="shared" si="96"/>
        <v>0</v>
      </c>
      <c r="AP74" s="7">
        <f t="shared" si="97"/>
        <v>0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">
      <c r="P75">
        <f t="shared" si="110"/>
        <v>36</v>
      </c>
      <c r="Q75">
        <f t="shared" si="75"/>
        <v>1440</v>
      </c>
      <c r="R75" s="7">
        <f t="shared" si="76"/>
        <v>-2.2619467105846511</v>
      </c>
      <c r="S75" s="7">
        <f t="shared" si="77"/>
        <v>-2.2933626371205489</v>
      </c>
      <c r="T75" s="7">
        <f t="shared" si="78"/>
        <v>-2.1362830044410592</v>
      </c>
      <c r="U75" s="7">
        <f t="shared" si="79"/>
        <v>-2.1362830044410592</v>
      </c>
      <c r="V75" s="7">
        <f t="shared" si="80"/>
        <v>-2.1362830044410592</v>
      </c>
      <c r="W75" s="7">
        <f t="shared" si="81"/>
        <v>-2.6703537555513237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8"/>
        <v>12.732395447351628</v>
      </c>
      <c r="AJ75">
        <f t="shared" si="109"/>
        <v>1440</v>
      </c>
      <c r="AK75" s="7">
        <f t="shared" si="92"/>
        <v>0</v>
      </c>
      <c r="AL75" s="7">
        <f t="shared" si="93"/>
        <v>0</v>
      </c>
      <c r="AM75" s="7">
        <f t="shared" si="94"/>
        <v>0</v>
      </c>
      <c r="AN75" s="7">
        <f t="shared" si="95"/>
        <v>0</v>
      </c>
      <c r="AO75" s="7">
        <f t="shared" si="96"/>
        <v>0</v>
      </c>
      <c r="AP75" s="7">
        <f t="shared" si="97"/>
        <v>0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">
      <c r="P76">
        <f t="shared" si="110"/>
        <v>36.5</v>
      </c>
      <c r="Q76">
        <f t="shared" si="75"/>
        <v>1460</v>
      </c>
      <c r="R76" s="7">
        <f t="shared" si="76"/>
        <v>-2.2619467105846511</v>
      </c>
      <c r="S76" s="7">
        <f t="shared" si="77"/>
        <v>-2.2933626371205489</v>
      </c>
      <c r="T76" s="7">
        <f t="shared" si="78"/>
        <v>-2.1362830044410592</v>
      </c>
      <c r="U76" s="7">
        <f t="shared" si="79"/>
        <v>-2.1362830044410592</v>
      </c>
      <c r="V76" s="7">
        <f t="shared" si="80"/>
        <v>-2.1362830044410592</v>
      </c>
      <c r="W76" s="7">
        <f t="shared" si="81"/>
        <v>-2.6703537555513237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8"/>
        <v>12.732395447351628</v>
      </c>
      <c r="AJ76">
        <f t="shared" si="109"/>
        <v>1460</v>
      </c>
      <c r="AK76" s="7">
        <f t="shared" si="92"/>
        <v>0</v>
      </c>
      <c r="AL76" s="7">
        <f t="shared" si="93"/>
        <v>0</v>
      </c>
      <c r="AM76" s="7">
        <f t="shared" si="94"/>
        <v>0</v>
      </c>
      <c r="AN76" s="7">
        <f t="shared" si="95"/>
        <v>0</v>
      </c>
      <c r="AO76" s="7">
        <f t="shared" si="96"/>
        <v>0</v>
      </c>
      <c r="AP76" s="7">
        <f t="shared" si="97"/>
        <v>0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">
      <c r="P77">
        <f t="shared" si="110"/>
        <v>37</v>
      </c>
      <c r="Q77">
        <f t="shared" si="75"/>
        <v>1480</v>
      </c>
      <c r="R77" s="7">
        <f t="shared" si="76"/>
        <v>-2.2619467105846511</v>
      </c>
      <c r="S77" s="7">
        <f t="shared" si="77"/>
        <v>-2.2933626371205489</v>
      </c>
      <c r="T77" s="7">
        <f t="shared" si="78"/>
        <v>-2.1362830044410592</v>
      </c>
      <c r="U77" s="7">
        <f t="shared" si="79"/>
        <v>-2.1362830044410592</v>
      </c>
      <c r="V77" s="7">
        <f t="shared" si="80"/>
        <v>-2.1362830044410592</v>
      </c>
      <c r="W77" s="7">
        <f t="shared" si="81"/>
        <v>-2.6703537555513237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8"/>
        <v>12.732395447351628</v>
      </c>
      <c r="AJ77">
        <f t="shared" si="109"/>
        <v>1480</v>
      </c>
      <c r="AK77" s="7">
        <f t="shared" si="92"/>
        <v>0</v>
      </c>
      <c r="AL77" s="7">
        <f t="shared" si="93"/>
        <v>0</v>
      </c>
      <c r="AM77" s="7">
        <f t="shared" si="94"/>
        <v>0</v>
      </c>
      <c r="AN77" s="7">
        <f t="shared" si="95"/>
        <v>0</v>
      </c>
      <c r="AO77" s="7">
        <f t="shared" si="96"/>
        <v>0</v>
      </c>
      <c r="AP77" s="7">
        <f t="shared" si="97"/>
        <v>0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">
      <c r="P78">
        <f t="shared" si="110"/>
        <v>37.5</v>
      </c>
      <c r="Q78">
        <f t="shared" si="75"/>
        <v>1500</v>
      </c>
      <c r="R78" s="7">
        <f t="shared" si="76"/>
        <v>-2.2619467105846511</v>
      </c>
      <c r="S78" s="7">
        <f t="shared" si="77"/>
        <v>-2.2933626371205489</v>
      </c>
      <c r="T78" s="7">
        <f t="shared" si="78"/>
        <v>-2.1362830044410592</v>
      </c>
      <c r="U78" s="7">
        <f t="shared" si="79"/>
        <v>-2.1362830044410592</v>
      </c>
      <c r="V78" s="7">
        <f t="shared" si="80"/>
        <v>-2.1362830044410592</v>
      </c>
      <c r="W78" s="7">
        <f t="shared" si="81"/>
        <v>-2.6703537555513237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8"/>
        <v>12.732395447351628</v>
      </c>
      <c r="AJ78">
        <f t="shared" si="109"/>
        <v>1500</v>
      </c>
      <c r="AK78" s="7">
        <f t="shared" si="92"/>
        <v>0</v>
      </c>
      <c r="AL78" s="7">
        <f t="shared" si="93"/>
        <v>0</v>
      </c>
      <c r="AM78" s="7">
        <f t="shared" si="94"/>
        <v>0</v>
      </c>
      <c r="AN78" s="7">
        <f t="shared" si="95"/>
        <v>0</v>
      </c>
      <c r="AO78" s="7">
        <f t="shared" si="96"/>
        <v>0</v>
      </c>
      <c r="AP78" s="7">
        <f t="shared" si="97"/>
        <v>0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">
      <c r="P79">
        <f t="shared" si="110"/>
        <v>38</v>
      </c>
      <c r="Q79">
        <f t="shared" si="75"/>
        <v>1520</v>
      </c>
      <c r="R79" s="7">
        <f t="shared" si="76"/>
        <v>-2.2619467105846511</v>
      </c>
      <c r="S79" s="7">
        <f t="shared" si="77"/>
        <v>-2.2933626371205489</v>
      </c>
      <c r="T79" s="7">
        <f t="shared" si="78"/>
        <v>-2.1362830044410592</v>
      </c>
      <c r="U79" s="7">
        <f t="shared" si="79"/>
        <v>-2.1362830044410592</v>
      </c>
      <c r="V79" s="7">
        <f t="shared" si="80"/>
        <v>-2.1362830044410592</v>
      </c>
      <c r="W79" s="7">
        <f t="shared" si="81"/>
        <v>-2.6703537555513237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8"/>
        <v>12.732395447351628</v>
      </c>
      <c r="AJ79">
        <f t="shared" si="109"/>
        <v>1520</v>
      </c>
      <c r="AK79" s="7">
        <f t="shared" si="92"/>
        <v>0</v>
      </c>
      <c r="AL79" s="7">
        <f t="shared" si="93"/>
        <v>0</v>
      </c>
      <c r="AM79" s="7">
        <f t="shared" si="94"/>
        <v>0</v>
      </c>
      <c r="AN79" s="7">
        <f t="shared" si="95"/>
        <v>0</v>
      </c>
      <c r="AO79" s="7">
        <f t="shared" si="96"/>
        <v>0</v>
      </c>
      <c r="AP79" s="7">
        <f t="shared" si="97"/>
        <v>0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">
      <c r="P80">
        <f t="shared" si="110"/>
        <v>38.5</v>
      </c>
      <c r="Q80">
        <f t="shared" si="75"/>
        <v>1540</v>
      </c>
      <c r="R80" s="7">
        <f t="shared" si="76"/>
        <v>-2.2619467105846511</v>
      </c>
      <c r="S80" s="7">
        <f t="shared" si="77"/>
        <v>-2.2933626371205489</v>
      </c>
      <c r="T80" s="7">
        <f t="shared" si="78"/>
        <v>-2.1362830044410592</v>
      </c>
      <c r="U80" s="7">
        <f t="shared" si="79"/>
        <v>-2.1362830044410592</v>
      </c>
      <c r="V80" s="7">
        <f t="shared" si="80"/>
        <v>-2.1362830044410592</v>
      </c>
      <c r="W80" s="7">
        <f t="shared" si="81"/>
        <v>-2.6703537555513237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8"/>
        <v>12.732395447351628</v>
      </c>
      <c r="AJ80">
        <f t="shared" si="109"/>
        <v>1540</v>
      </c>
      <c r="AK80" s="7">
        <f t="shared" si="92"/>
        <v>0</v>
      </c>
      <c r="AL80" s="7">
        <f t="shared" si="93"/>
        <v>0</v>
      </c>
      <c r="AM80" s="7">
        <f t="shared" si="94"/>
        <v>0</v>
      </c>
      <c r="AN80" s="7">
        <f t="shared" si="95"/>
        <v>0</v>
      </c>
      <c r="AO80" s="7">
        <f t="shared" si="96"/>
        <v>0</v>
      </c>
      <c r="AP80" s="7">
        <f t="shared" si="97"/>
        <v>0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">
      <c r="P81">
        <f t="shared" si="110"/>
        <v>39</v>
      </c>
      <c r="Q81">
        <f t="shared" si="75"/>
        <v>1560</v>
      </c>
      <c r="R81" s="7">
        <f t="shared" si="76"/>
        <v>-2.2619467105846511</v>
      </c>
      <c r="S81" s="7">
        <f t="shared" si="77"/>
        <v>-2.2933626371205489</v>
      </c>
      <c r="T81" s="7">
        <f t="shared" si="78"/>
        <v>-2.1362830044410592</v>
      </c>
      <c r="U81" s="7">
        <f t="shared" si="79"/>
        <v>-2.1362830044410592</v>
      </c>
      <c r="V81" s="7">
        <f t="shared" si="80"/>
        <v>-2.1362830044410592</v>
      </c>
      <c r="W81" s="7">
        <f t="shared" si="81"/>
        <v>-2.6703537555513237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8"/>
        <v>12.732395447351628</v>
      </c>
      <c r="AJ81">
        <f t="shared" si="109"/>
        <v>1560</v>
      </c>
      <c r="AK81" s="7">
        <f t="shared" si="92"/>
        <v>0</v>
      </c>
      <c r="AL81" s="7">
        <f t="shared" si="93"/>
        <v>0</v>
      </c>
      <c r="AM81" s="7">
        <f t="shared" si="94"/>
        <v>0</v>
      </c>
      <c r="AN81" s="7">
        <f t="shared" si="95"/>
        <v>0</v>
      </c>
      <c r="AO81" s="7">
        <f t="shared" si="96"/>
        <v>0</v>
      </c>
      <c r="AP81" s="7">
        <f t="shared" si="97"/>
        <v>0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">
      <c r="P82">
        <f t="shared" si="110"/>
        <v>39.5</v>
      </c>
      <c r="Q82">
        <f t="shared" si="75"/>
        <v>1580</v>
      </c>
      <c r="R82" s="7">
        <f t="shared" si="76"/>
        <v>-2.2619467105846511</v>
      </c>
      <c r="S82" s="7">
        <f t="shared" si="77"/>
        <v>-2.2933626371205489</v>
      </c>
      <c r="T82" s="7">
        <f t="shared" si="78"/>
        <v>-2.1362830044410592</v>
      </c>
      <c r="U82" s="7">
        <f t="shared" si="79"/>
        <v>-2.1362830044410592</v>
      </c>
      <c r="V82" s="7">
        <f t="shared" si="80"/>
        <v>-2.1362830044410592</v>
      </c>
      <c r="W82" s="7">
        <f t="shared" si="81"/>
        <v>-2.6703537555513237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8"/>
        <v>12.732395447351628</v>
      </c>
      <c r="AJ82">
        <f t="shared" si="109"/>
        <v>1580</v>
      </c>
      <c r="AK82" s="7">
        <f t="shared" si="92"/>
        <v>0</v>
      </c>
      <c r="AL82" s="7">
        <f t="shared" si="93"/>
        <v>0</v>
      </c>
      <c r="AM82" s="7">
        <f t="shared" si="94"/>
        <v>0</v>
      </c>
      <c r="AN82" s="7">
        <f t="shared" si="95"/>
        <v>0</v>
      </c>
      <c r="AO82" s="7">
        <f t="shared" si="96"/>
        <v>0</v>
      </c>
      <c r="AP82" s="7">
        <f t="shared" si="97"/>
        <v>0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">
      <c r="P83">
        <f t="shared" si="110"/>
        <v>40</v>
      </c>
      <c r="Q83">
        <f t="shared" si="75"/>
        <v>1600</v>
      </c>
      <c r="R83" s="7">
        <f t="shared" si="76"/>
        <v>-2.2619467105846511</v>
      </c>
      <c r="S83" s="7">
        <f t="shared" si="77"/>
        <v>-2.2933626371205489</v>
      </c>
      <c r="T83" s="7">
        <f t="shared" si="78"/>
        <v>-2.1362830044410592</v>
      </c>
      <c r="U83" s="7">
        <f t="shared" si="79"/>
        <v>-2.1362830044410592</v>
      </c>
      <c r="V83" s="7">
        <f t="shared" si="80"/>
        <v>-2.1362830044410592</v>
      </c>
      <c r="W83" s="7">
        <f t="shared" si="81"/>
        <v>-2.6703537555513237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8"/>
        <v>12.732395447351628</v>
      </c>
      <c r="AJ83">
        <f t="shared" si="109"/>
        <v>1600</v>
      </c>
      <c r="AK83" s="7">
        <f t="shared" si="92"/>
        <v>0</v>
      </c>
      <c r="AL83" s="7">
        <f t="shared" si="93"/>
        <v>0</v>
      </c>
      <c r="AM83" s="7">
        <f t="shared" si="94"/>
        <v>0</v>
      </c>
      <c r="AN83" s="7">
        <f t="shared" si="95"/>
        <v>0</v>
      </c>
      <c r="AO83" s="7">
        <f t="shared" si="96"/>
        <v>0</v>
      </c>
      <c r="AP83" s="7">
        <f t="shared" si="97"/>
        <v>0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">
      <c r="P84">
        <f t="shared" si="110"/>
        <v>40.5</v>
      </c>
      <c r="Q84">
        <f t="shared" si="75"/>
        <v>1620</v>
      </c>
      <c r="R84" s="7">
        <f t="shared" si="76"/>
        <v>-2.2619467105846511</v>
      </c>
      <c r="S84" s="7">
        <f t="shared" si="77"/>
        <v>-2.2933626371205489</v>
      </c>
      <c r="T84" s="7">
        <f t="shared" si="78"/>
        <v>-2.1362830044410592</v>
      </c>
      <c r="U84" s="7">
        <f t="shared" si="79"/>
        <v>-2.1362830044410592</v>
      </c>
      <c r="V84" s="7">
        <f t="shared" si="80"/>
        <v>-2.1362830044410592</v>
      </c>
      <c r="W84" s="7">
        <f t="shared" si="81"/>
        <v>-2.6703537555513237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8"/>
        <v>12.732395447351628</v>
      </c>
      <c r="AJ84">
        <f t="shared" si="109"/>
        <v>1620</v>
      </c>
      <c r="AK84" s="7">
        <f t="shared" si="92"/>
        <v>0</v>
      </c>
      <c r="AL84" s="7">
        <f t="shared" si="93"/>
        <v>0</v>
      </c>
      <c r="AM84" s="7">
        <f t="shared" si="94"/>
        <v>0</v>
      </c>
      <c r="AN84" s="7">
        <f t="shared" si="95"/>
        <v>0</v>
      </c>
      <c r="AO84" s="7">
        <f t="shared" si="96"/>
        <v>0</v>
      </c>
      <c r="AP84" s="7">
        <f t="shared" si="97"/>
        <v>0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">
      <c r="P85">
        <f t="shared" si="110"/>
        <v>41</v>
      </c>
      <c r="Q85">
        <f t="shared" si="75"/>
        <v>1640</v>
      </c>
      <c r="R85" s="7">
        <f t="shared" si="76"/>
        <v>-2.2619467105846511</v>
      </c>
      <c r="S85" s="7">
        <f t="shared" si="77"/>
        <v>-2.2933626371205489</v>
      </c>
      <c r="T85" s="7">
        <f t="shared" si="78"/>
        <v>-2.1362830044410592</v>
      </c>
      <c r="U85" s="7">
        <f t="shared" si="79"/>
        <v>-2.1362830044410592</v>
      </c>
      <c r="V85" s="7">
        <f t="shared" si="80"/>
        <v>-2.1362830044410592</v>
      </c>
      <c r="W85" s="7">
        <f t="shared" si="81"/>
        <v>-2.6703537555513237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8"/>
        <v>12.732395447351628</v>
      </c>
      <c r="AJ85">
        <f t="shared" si="109"/>
        <v>1640</v>
      </c>
      <c r="AK85" s="7">
        <f t="shared" si="92"/>
        <v>0</v>
      </c>
      <c r="AL85" s="7">
        <f t="shared" si="93"/>
        <v>0</v>
      </c>
      <c r="AM85" s="7">
        <f t="shared" si="94"/>
        <v>0</v>
      </c>
      <c r="AN85" s="7">
        <f t="shared" si="95"/>
        <v>0</v>
      </c>
      <c r="AO85" s="7">
        <f t="shared" si="96"/>
        <v>0</v>
      </c>
      <c r="AP85" s="7">
        <f t="shared" si="97"/>
        <v>0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">
      <c r="P86">
        <f t="shared" si="110"/>
        <v>41.5</v>
      </c>
      <c r="Q86">
        <f t="shared" si="75"/>
        <v>1660</v>
      </c>
      <c r="R86" s="7">
        <f t="shared" si="76"/>
        <v>-2.2619467105846511</v>
      </c>
      <c r="S86" s="7">
        <f t="shared" si="77"/>
        <v>-2.2933626371205489</v>
      </c>
      <c r="T86" s="7">
        <f t="shared" si="78"/>
        <v>-2.1362830044410592</v>
      </c>
      <c r="U86" s="7">
        <f t="shared" si="79"/>
        <v>-2.1362830044410592</v>
      </c>
      <c r="V86" s="7">
        <f t="shared" si="80"/>
        <v>-2.1362830044410592</v>
      </c>
      <c r="W86" s="7">
        <f t="shared" si="81"/>
        <v>-2.6703537555513237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8"/>
        <v>12.732395447351628</v>
      </c>
      <c r="AJ86">
        <f t="shared" si="109"/>
        <v>1660</v>
      </c>
      <c r="AK86" s="7">
        <f t="shared" si="92"/>
        <v>0</v>
      </c>
      <c r="AL86" s="7">
        <f t="shared" si="93"/>
        <v>0</v>
      </c>
      <c r="AM86" s="7">
        <f t="shared" si="94"/>
        <v>0</v>
      </c>
      <c r="AN86" s="7">
        <f t="shared" si="95"/>
        <v>0</v>
      </c>
      <c r="AO86" s="7">
        <f t="shared" si="96"/>
        <v>0</v>
      </c>
      <c r="AP86" s="7">
        <f t="shared" si="97"/>
        <v>0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">
      <c r="P87">
        <f t="shared" si="110"/>
        <v>42</v>
      </c>
      <c r="Q87">
        <f t="shared" si="75"/>
        <v>1680</v>
      </c>
      <c r="R87" s="7">
        <f t="shared" si="76"/>
        <v>-2.2619467105846511</v>
      </c>
      <c r="S87" s="7">
        <f t="shared" si="77"/>
        <v>-2.2933626371205489</v>
      </c>
      <c r="T87" s="7">
        <f t="shared" si="78"/>
        <v>-2.1362830044410592</v>
      </c>
      <c r="U87" s="7">
        <f t="shared" si="79"/>
        <v>-2.1362830044410592</v>
      </c>
      <c r="V87" s="7">
        <f t="shared" si="80"/>
        <v>-2.1362830044410592</v>
      </c>
      <c r="W87" s="7">
        <f t="shared" si="81"/>
        <v>-2.6703537555513237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8"/>
        <v>12.732395447351628</v>
      </c>
      <c r="AJ87">
        <f t="shared" si="109"/>
        <v>1680</v>
      </c>
      <c r="AK87" s="7">
        <f t="shared" si="92"/>
        <v>0</v>
      </c>
      <c r="AL87" s="7">
        <f t="shared" si="93"/>
        <v>0</v>
      </c>
      <c r="AM87" s="7">
        <f t="shared" si="94"/>
        <v>0</v>
      </c>
      <c r="AN87" s="7">
        <f t="shared" si="95"/>
        <v>0</v>
      </c>
      <c r="AO87" s="7">
        <f t="shared" si="96"/>
        <v>0</v>
      </c>
      <c r="AP87" s="7">
        <f t="shared" si="97"/>
        <v>0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">
      <c r="P88">
        <f t="shared" si="110"/>
        <v>42.5</v>
      </c>
      <c r="Q88">
        <f t="shared" si="75"/>
        <v>1700</v>
      </c>
      <c r="R88" s="7">
        <f t="shared" si="76"/>
        <v>-2.2619467105846511</v>
      </c>
      <c r="S88" s="7">
        <f t="shared" si="77"/>
        <v>-2.2933626371205489</v>
      </c>
      <c r="T88" s="7">
        <f t="shared" si="78"/>
        <v>-2.1362830044410592</v>
      </c>
      <c r="U88" s="7">
        <f t="shared" si="79"/>
        <v>-2.1362830044410592</v>
      </c>
      <c r="V88" s="7">
        <f t="shared" si="80"/>
        <v>-2.1362830044410592</v>
      </c>
      <c r="W88" s="7">
        <f t="shared" si="81"/>
        <v>-2.6703537555513237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8"/>
        <v>12.732395447351628</v>
      </c>
      <c r="AJ88">
        <f t="shared" si="109"/>
        <v>1700</v>
      </c>
      <c r="AK88" s="7">
        <f t="shared" si="92"/>
        <v>0</v>
      </c>
      <c r="AL88" s="7">
        <f t="shared" si="93"/>
        <v>0</v>
      </c>
      <c r="AM88" s="7">
        <f t="shared" si="94"/>
        <v>0</v>
      </c>
      <c r="AN88" s="7">
        <f t="shared" si="95"/>
        <v>0</v>
      </c>
      <c r="AO88" s="7">
        <f t="shared" si="96"/>
        <v>0</v>
      </c>
      <c r="AP88" s="7">
        <f t="shared" si="97"/>
        <v>0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">
      <c r="P89">
        <f t="shared" si="110"/>
        <v>43</v>
      </c>
      <c r="Q89">
        <f t="shared" si="75"/>
        <v>1720</v>
      </c>
      <c r="R89" s="7">
        <f t="shared" si="76"/>
        <v>-2.2619467105846511</v>
      </c>
      <c r="S89" s="7">
        <f t="shared" si="77"/>
        <v>-2.2933626371205489</v>
      </c>
      <c r="T89" s="7">
        <f t="shared" si="78"/>
        <v>-2.1362830044410592</v>
      </c>
      <c r="U89" s="7">
        <f t="shared" si="79"/>
        <v>-2.1362830044410592</v>
      </c>
      <c r="V89" s="7">
        <f t="shared" si="80"/>
        <v>-2.1362830044410592</v>
      </c>
      <c r="W89" s="7">
        <f t="shared" si="81"/>
        <v>-2.6703537555513237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8"/>
        <v>12.732395447351628</v>
      </c>
      <c r="AJ89">
        <f t="shared" si="109"/>
        <v>1720</v>
      </c>
      <c r="AK89" s="7">
        <f t="shared" si="92"/>
        <v>0</v>
      </c>
      <c r="AL89" s="7">
        <f t="shared" si="93"/>
        <v>0</v>
      </c>
      <c r="AM89" s="7">
        <f t="shared" si="94"/>
        <v>0</v>
      </c>
      <c r="AN89" s="7">
        <f t="shared" si="95"/>
        <v>0</v>
      </c>
      <c r="AO89" s="7">
        <f t="shared" si="96"/>
        <v>0</v>
      </c>
      <c r="AP89" s="7">
        <f t="shared" si="97"/>
        <v>0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">
      <c r="P90">
        <f t="shared" si="110"/>
        <v>43.5</v>
      </c>
      <c r="Q90">
        <f t="shared" si="75"/>
        <v>1740</v>
      </c>
      <c r="R90" s="7">
        <f t="shared" si="76"/>
        <v>-2.2619467105846511</v>
      </c>
      <c r="S90" s="7">
        <f t="shared" si="77"/>
        <v>-2.2933626371205489</v>
      </c>
      <c r="T90" s="7">
        <f t="shared" si="78"/>
        <v>-2.1362830044410592</v>
      </c>
      <c r="U90" s="7">
        <f t="shared" si="79"/>
        <v>-2.1362830044410592</v>
      </c>
      <c r="V90" s="7">
        <f t="shared" si="80"/>
        <v>-2.1362830044410592</v>
      </c>
      <c r="W90" s="7">
        <f t="shared" si="81"/>
        <v>-2.6703537555513237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8"/>
        <v>12.732395447351628</v>
      </c>
      <c r="AJ90">
        <f t="shared" si="109"/>
        <v>1740</v>
      </c>
      <c r="AK90" s="7">
        <f t="shared" si="92"/>
        <v>0</v>
      </c>
      <c r="AL90" s="7">
        <f t="shared" si="93"/>
        <v>0</v>
      </c>
      <c r="AM90" s="7">
        <f t="shared" si="94"/>
        <v>0</v>
      </c>
      <c r="AN90" s="7">
        <f t="shared" si="95"/>
        <v>0</v>
      </c>
      <c r="AO90" s="7">
        <f t="shared" si="96"/>
        <v>0</v>
      </c>
      <c r="AP90" s="7">
        <f t="shared" si="97"/>
        <v>0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">
      <c r="P91">
        <f t="shared" si="110"/>
        <v>44</v>
      </c>
      <c r="Q91">
        <f t="shared" si="75"/>
        <v>1760</v>
      </c>
      <c r="R91" s="7">
        <f t="shared" si="76"/>
        <v>-2.2619467105846511</v>
      </c>
      <c r="S91" s="7">
        <f t="shared" si="77"/>
        <v>-2.2933626371205489</v>
      </c>
      <c r="T91" s="7">
        <f t="shared" si="78"/>
        <v>-2.1362830044410592</v>
      </c>
      <c r="U91" s="7">
        <f t="shared" si="79"/>
        <v>-2.1362830044410592</v>
      </c>
      <c r="V91" s="7">
        <f t="shared" si="80"/>
        <v>-2.1362830044410592</v>
      </c>
      <c r="W91" s="7">
        <f t="shared" si="81"/>
        <v>-2.6703537555513237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8"/>
        <v>12.732395447351628</v>
      </c>
      <c r="AJ91">
        <f t="shared" si="109"/>
        <v>1760</v>
      </c>
      <c r="AK91" s="7">
        <f t="shared" si="92"/>
        <v>0</v>
      </c>
      <c r="AL91" s="7">
        <f t="shared" si="93"/>
        <v>0</v>
      </c>
      <c r="AM91" s="7">
        <f t="shared" si="94"/>
        <v>0</v>
      </c>
      <c r="AN91" s="7">
        <f t="shared" si="95"/>
        <v>0</v>
      </c>
      <c r="AO91" s="7">
        <f t="shared" si="96"/>
        <v>0</v>
      </c>
      <c r="AP91" s="7">
        <f t="shared" si="97"/>
        <v>0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">
      <c r="P92">
        <f t="shared" si="110"/>
        <v>44.5</v>
      </c>
      <c r="Q92">
        <f t="shared" si="75"/>
        <v>1780</v>
      </c>
      <c r="R92" s="7">
        <f t="shared" si="76"/>
        <v>-2.2619467105846511</v>
      </c>
      <c r="S92" s="7">
        <f t="shared" si="77"/>
        <v>-2.2933626371205489</v>
      </c>
      <c r="T92" s="7">
        <f t="shared" si="78"/>
        <v>-2.1362830044410592</v>
      </c>
      <c r="U92" s="7">
        <f t="shared" si="79"/>
        <v>-2.1362830044410592</v>
      </c>
      <c r="V92" s="7">
        <f t="shared" si="80"/>
        <v>-2.1362830044410592</v>
      </c>
      <c r="W92" s="7">
        <f t="shared" si="81"/>
        <v>-2.6703537555513237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8"/>
        <v>12.732395447351628</v>
      </c>
      <c r="AJ92">
        <f t="shared" si="109"/>
        <v>1780</v>
      </c>
      <c r="AK92" s="7">
        <f t="shared" si="92"/>
        <v>0</v>
      </c>
      <c r="AL92" s="7">
        <f t="shared" si="93"/>
        <v>0</v>
      </c>
      <c r="AM92" s="7">
        <f t="shared" si="94"/>
        <v>0</v>
      </c>
      <c r="AN92" s="7">
        <f t="shared" si="95"/>
        <v>0</v>
      </c>
      <c r="AO92" s="7">
        <f t="shared" si="96"/>
        <v>0</v>
      </c>
      <c r="AP92" s="7">
        <f t="shared" si="97"/>
        <v>0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">
      <c r="P93">
        <f t="shared" si="110"/>
        <v>45</v>
      </c>
      <c r="Q93">
        <f t="shared" si="75"/>
        <v>1800</v>
      </c>
      <c r="R93" s="7">
        <f t="shared" si="76"/>
        <v>-2.2619467105846511</v>
      </c>
      <c r="S93" s="7">
        <f t="shared" si="77"/>
        <v>-2.2933626371205489</v>
      </c>
      <c r="T93" s="7">
        <f t="shared" si="78"/>
        <v>-2.1362830044410592</v>
      </c>
      <c r="U93" s="7">
        <f t="shared" si="79"/>
        <v>-2.1362830044410592</v>
      </c>
      <c r="V93" s="7">
        <f t="shared" si="80"/>
        <v>-2.1362830044410592</v>
      </c>
      <c r="W93" s="7">
        <f t="shared" si="81"/>
        <v>-2.6703537555513237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8"/>
        <v>12.732395447351628</v>
      </c>
      <c r="AJ93">
        <f t="shared" si="109"/>
        <v>1800</v>
      </c>
      <c r="AK93" s="7">
        <f t="shared" si="92"/>
        <v>0</v>
      </c>
      <c r="AL93" s="7">
        <f t="shared" si="93"/>
        <v>0</v>
      </c>
      <c r="AM93" s="7">
        <f t="shared" si="94"/>
        <v>0</v>
      </c>
      <c r="AN93" s="7">
        <f t="shared" si="95"/>
        <v>0</v>
      </c>
      <c r="AO93" s="7">
        <f t="shared" si="96"/>
        <v>0</v>
      </c>
      <c r="AP93" s="7">
        <f t="shared" si="97"/>
        <v>0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">
      <c r="P94">
        <f t="shared" si="110"/>
        <v>45.5</v>
      </c>
      <c r="Q94">
        <f t="shared" si="75"/>
        <v>1820</v>
      </c>
      <c r="R94" s="7">
        <f t="shared" si="76"/>
        <v>-2.2619467105846511</v>
      </c>
      <c r="S94" s="7">
        <f t="shared" si="77"/>
        <v>-2.2933626371205489</v>
      </c>
      <c r="T94" s="7">
        <f t="shared" si="78"/>
        <v>-2.1362830044410592</v>
      </c>
      <c r="U94" s="7">
        <f t="shared" si="79"/>
        <v>-2.1362830044410592</v>
      </c>
      <c r="V94" s="7">
        <f t="shared" si="80"/>
        <v>-2.1362830044410592</v>
      </c>
      <c r="W94" s="7">
        <f t="shared" si="81"/>
        <v>-2.6703537555513237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8"/>
        <v>12.732395447351628</v>
      </c>
      <c r="AJ94">
        <f t="shared" si="109"/>
        <v>1820</v>
      </c>
      <c r="AK94" s="7">
        <f t="shared" si="92"/>
        <v>0</v>
      </c>
      <c r="AL94" s="7">
        <f t="shared" si="93"/>
        <v>0</v>
      </c>
      <c r="AM94" s="7">
        <f t="shared" si="94"/>
        <v>0</v>
      </c>
      <c r="AN94" s="7">
        <f t="shared" si="95"/>
        <v>0</v>
      </c>
      <c r="AO94" s="7">
        <f t="shared" si="96"/>
        <v>0</v>
      </c>
      <c r="AP94" s="7">
        <f t="shared" si="97"/>
        <v>0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">
      <c r="P95">
        <f t="shared" si="110"/>
        <v>46</v>
      </c>
      <c r="Q95">
        <f t="shared" si="75"/>
        <v>1840</v>
      </c>
      <c r="R95" s="7">
        <f t="shared" si="76"/>
        <v>-2.2619467105846511</v>
      </c>
      <c r="S95" s="7">
        <f t="shared" si="77"/>
        <v>-2.2933626371205489</v>
      </c>
      <c r="T95" s="7">
        <f t="shared" si="78"/>
        <v>-2.1362830044410592</v>
      </c>
      <c r="U95" s="7">
        <f t="shared" si="79"/>
        <v>-2.1362830044410592</v>
      </c>
      <c r="V95" s="7">
        <f t="shared" si="80"/>
        <v>-2.1362830044410592</v>
      </c>
      <c r="W95" s="7">
        <f t="shared" si="81"/>
        <v>-2.6703537555513237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8"/>
        <v>12.732395447351628</v>
      </c>
      <c r="AJ95">
        <f t="shared" si="109"/>
        <v>1840</v>
      </c>
      <c r="AK95" s="7">
        <f t="shared" si="92"/>
        <v>0</v>
      </c>
      <c r="AL95" s="7">
        <f t="shared" si="93"/>
        <v>0</v>
      </c>
      <c r="AM95" s="7">
        <f t="shared" si="94"/>
        <v>0</v>
      </c>
      <c r="AN95" s="7">
        <f t="shared" si="95"/>
        <v>0</v>
      </c>
      <c r="AO95" s="7">
        <f t="shared" si="96"/>
        <v>0</v>
      </c>
      <c r="AP95" s="7">
        <f t="shared" si="97"/>
        <v>0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">
      <c r="P96">
        <f t="shared" si="110"/>
        <v>46.5</v>
      </c>
      <c r="Q96">
        <f t="shared" si="75"/>
        <v>1860</v>
      </c>
      <c r="R96" s="7">
        <f t="shared" si="76"/>
        <v>-2.2619467105846511</v>
      </c>
      <c r="S96" s="7">
        <f t="shared" si="77"/>
        <v>-2.2933626371205489</v>
      </c>
      <c r="T96" s="7">
        <f t="shared" si="78"/>
        <v>-2.1362830044410592</v>
      </c>
      <c r="U96" s="7">
        <f t="shared" si="79"/>
        <v>-2.1362830044410592</v>
      </c>
      <c r="V96" s="7">
        <f t="shared" si="80"/>
        <v>-2.1362830044410592</v>
      </c>
      <c r="W96" s="7">
        <f t="shared" si="81"/>
        <v>-2.6703537555513237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8"/>
        <v>12.732395447351628</v>
      </c>
      <c r="AJ96">
        <f t="shared" si="109"/>
        <v>1860</v>
      </c>
      <c r="AK96" s="7">
        <f t="shared" si="92"/>
        <v>0</v>
      </c>
      <c r="AL96" s="7">
        <f t="shared" si="93"/>
        <v>0</v>
      </c>
      <c r="AM96" s="7">
        <f t="shared" si="94"/>
        <v>0</v>
      </c>
      <c r="AN96" s="7">
        <f t="shared" si="95"/>
        <v>0</v>
      </c>
      <c r="AO96" s="7">
        <f t="shared" si="96"/>
        <v>0</v>
      </c>
      <c r="AP96" s="7">
        <f t="shared" si="97"/>
        <v>0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">
      <c r="P97">
        <f t="shared" si="110"/>
        <v>47</v>
      </c>
      <c r="Q97">
        <f t="shared" si="75"/>
        <v>1880</v>
      </c>
      <c r="R97" s="7">
        <f t="shared" si="76"/>
        <v>-2.2619467105846511</v>
      </c>
      <c r="S97" s="7">
        <f t="shared" si="77"/>
        <v>-2.2933626371205489</v>
      </c>
      <c r="T97" s="7">
        <f t="shared" si="78"/>
        <v>-2.1362830044410592</v>
      </c>
      <c r="U97" s="7">
        <f t="shared" si="79"/>
        <v>-2.1362830044410592</v>
      </c>
      <c r="V97" s="7">
        <f t="shared" si="80"/>
        <v>-2.1362830044410592</v>
      </c>
      <c r="W97" s="7">
        <f t="shared" si="81"/>
        <v>-2.6703537555513237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8"/>
        <v>12.732395447351628</v>
      </c>
      <c r="AJ97">
        <f t="shared" si="109"/>
        <v>1880</v>
      </c>
      <c r="AK97" s="7">
        <f t="shared" si="92"/>
        <v>0</v>
      </c>
      <c r="AL97" s="7">
        <f t="shared" si="93"/>
        <v>0</v>
      </c>
      <c r="AM97" s="7">
        <f t="shared" si="94"/>
        <v>0</v>
      </c>
      <c r="AN97" s="7">
        <f t="shared" si="95"/>
        <v>0</v>
      </c>
      <c r="AO97" s="7">
        <f t="shared" si="96"/>
        <v>0</v>
      </c>
      <c r="AP97" s="7">
        <f t="shared" si="97"/>
        <v>0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">
      <c r="P98">
        <f t="shared" si="110"/>
        <v>47.5</v>
      </c>
      <c r="Q98">
        <f t="shared" si="75"/>
        <v>1900</v>
      </c>
      <c r="R98" s="7">
        <f t="shared" si="76"/>
        <v>-2.2619467105846511</v>
      </c>
      <c r="S98" s="7">
        <f t="shared" si="77"/>
        <v>-2.2933626371205489</v>
      </c>
      <c r="T98" s="7">
        <f t="shared" si="78"/>
        <v>-2.1362830044410592</v>
      </c>
      <c r="U98" s="7">
        <f t="shared" si="79"/>
        <v>-2.1362830044410592</v>
      </c>
      <c r="V98" s="7">
        <f t="shared" si="80"/>
        <v>-2.1362830044410592</v>
      </c>
      <c r="W98" s="7">
        <f t="shared" si="81"/>
        <v>-2.6703537555513237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8"/>
        <v>12.732395447351628</v>
      </c>
      <c r="AJ98">
        <f t="shared" si="109"/>
        <v>1900</v>
      </c>
      <c r="AK98" s="7">
        <f t="shared" si="92"/>
        <v>0</v>
      </c>
      <c r="AL98" s="7">
        <f t="shared" si="93"/>
        <v>0</v>
      </c>
      <c r="AM98" s="7">
        <f t="shared" si="94"/>
        <v>0</v>
      </c>
      <c r="AN98" s="7">
        <f t="shared" si="95"/>
        <v>0</v>
      </c>
      <c r="AO98" s="7">
        <f t="shared" si="96"/>
        <v>0</v>
      </c>
      <c r="AP98" s="7">
        <f t="shared" si="97"/>
        <v>0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">
      <c r="P99">
        <f t="shared" si="110"/>
        <v>48</v>
      </c>
      <c r="Q99">
        <f t="shared" ref="Q99:Q102" si="111">P99*$C$6*2/$C$7</f>
        <v>1920</v>
      </c>
      <c r="R99" s="7">
        <f t="shared" si="76"/>
        <v>-2.2619467105846511</v>
      </c>
      <c r="S99" s="7">
        <f t="shared" si="77"/>
        <v>-2.2933626371205489</v>
      </c>
      <c r="T99" s="7">
        <f t="shared" si="78"/>
        <v>-2.1362830044410592</v>
      </c>
      <c r="U99" s="7">
        <f t="shared" si="79"/>
        <v>-2.1362830044410592</v>
      </c>
      <c r="V99" s="7">
        <f t="shared" si="80"/>
        <v>-2.1362830044410592</v>
      </c>
      <c r="W99" s="7">
        <f t="shared" si="81"/>
        <v>-2.6703537555513237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8"/>
        <v>12.732395447351628</v>
      </c>
      <c r="AJ99">
        <f t="shared" si="109"/>
        <v>1920</v>
      </c>
      <c r="AK99" s="7">
        <f t="shared" si="92"/>
        <v>0</v>
      </c>
      <c r="AL99" s="7">
        <f t="shared" si="93"/>
        <v>0</v>
      </c>
      <c r="AM99" s="7">
        <f t="shared" si="94"/>
        <v>0</v>
      </c>
      <c r="AN99" s="7">
        <f t="shared" si="95"/>
        <v>0</v>
      </c>
      <c r="AO99" s="7">
        <f t="shared" si="96"/>
        <v>0</v>
      </c>
      <c r="AP99" s="7">
        <f t="shared" si="97"/>
        <v>0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">
      <c r="P100">
        <f t="shared" si="110"/>
        <v>48.5</v>
      </c>
      <c r="Q100">
        <f t="shared" si="111"/>
        <v>1940</v>
      </c>
      <c r="R100" s="7">
        <f t="shared" si="76"/>
        <v>-2.2619467105846511</v>
      </c>
      <c r="S100" s="7">
        <f t="shared" si="77"/>
        <v>-2.2933626371205489</v>
      </c>
      <c r="T100" s="7">
        <f t="shared" si="78"/>
        <v>-2.1362830044410592</v>
      </c>
      <c r="U100" s="7">
        <f t="shared" si="79"/>
        <v>-2.1362830044410592</v>
      </c>
      <c r="V100" s="7">
        <f t="shared" si="80"/>
        <v>-2.1362830044410592</v>
      </c>
      <c r="W100" s="7">
        <f t="shared" si="81"/>
        <v>-2.6703537555513237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8"/>
        <v>12.732395447351628</v>
      </c>
      <c r="AJ100">
        <f t="shared" si="109"/>
        <v>1940</v>
      </c>
      <c r="AK100" s="7">
        <f t="shared" si="92"/>
        <v>0</v>
      </c>
      <c r="AL100" s="7">
        <f t="shared" si="93"/>
        <v>0</v>
      </c>
      <c r="AM100" s="7">
        <f t="shared" si="94"/>
        <v>0</v>
      </c>
      <c r="AN100" s="7">
        <f t="shared" si="95"/>
        <v>0</v>
      </c>
      <c r="AO100" s="7">
        <f t="shared" si="96"/>
        <v>0</v>
      </c>
      <c r="AP100" s="7">
        <f t="shared" si="97"/>
        <v>0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">
      <c r="P101">
        <f t="shared" si="110"/>
        <v>49</v>
      </c>
      <c r="Q101">
        <f t="shared" si="111"/>
        <v>1960</v>
      </c>
      <c r="R101" s="7">
        <f t="shared" si="76"/>
        <v>-2.2619467105846511</v>
      </c>
      <c r="S101" s="7">
        <f t="shared" si="77"/>
        <v>-2.2933626371205489</v>
      </c>
      <c r="T101" s="7">
        <f t="shared" si="78"/>
        <v>-2.1362830044410592</v>
      </c>
      <c r="U101" s="7">
        <f t="shared" si="79"/>
        <v>-2.1362830044410592</v>
      </c>
      <c r="V101" s="7">
        <f t="shared" si="80"/>
        <v>-2.1362830044410592</v>
      </c>
      <c r="W101" s="7">
        <f t="shared" si="81"/>
        <v>-2.6703537555513237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8"/>
        <v>12.732395447351628</v>
      </c>
      <c r="AJ101">
        <f t="shared" si="109"/>
        <v>1960</v>
      </c>
      <c r="AK101" s="7">
        <f t="shared" si="92"/>
        <v>0</v>
      </c>
      <c r="AL101" s="7">
        <f t="shared" si="93"/>
        <v>0</v>
      </c>
      <c r="AM101" s="7">
        <f t="shared" si="94"/>
        <v>0</v>
      </c>
      <c r="AN101" s="7">
        <f t="shared" si="95"/>
        <v>0</v>
      </c>
      <c r="AO101" s="7">
        <f t="shared" si="96"/>
        <v>0</v>
      </c>
      <c r="AP101" s="7">
        <f t="shared" si="97"/>
        <v>0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">
      <c r="P102">
        <f t="shared" si="110"/>
        <v>49.5</v>
      </c>
      <c r="Q102">
        <f t="shared" si="111"/>
        <v>1980</v>
      </c>
      <c r="R102" s="7">
        <f t="shared" si="76"/>
        <v>-2.2619467105846511</v>
      </c>
      <c r="S102" s="7">
        <f t="shared" si="77"/>
        <v>-2.2933626371205489</v>
      </c>
      <c r="T102" s="7">
        <f t="shared" si="78"/>
        <v>-2.1362830044410592</v>
      </c>
      <c r="U102" s="7">
        <f t="shared" si="79"/>
        <v>-2.1362830044410592</v>
      </c>
      <c r="V102" s="7">
        <f t="shared" si="80"/>
        <v>-2.1362830044410592</v>
      </c>
      <c r="W102" s="7">
        <f t="shared" si="81"/>
        <v>-2.6703537555513237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8"/>
        <v>12.732395447351628</v>
      </c>
      <c r="AJ102">
        <f t="shared" si="109"/>
        <v>1980</v>
      </c>
      <c r="AK102" s="7">
        <f t="shared" si="92"/>
        <v>0</v>
      </c>
      <c r="AL102" s="7">
        <f t="shared" si="93"/>
        <v>0</v>
      </c>
      <c r="AM102" s="7">
        <f t="shared" si="94"/>
        <v>0</v>
      </c>
      <c r="AN102" s="7">
        <f t="shared" si="95"/>
        <v>0</v>
      </c>
      <c r="AO102" s="7">
        <f t="shared" si="96"/>
        <v>0</v>
      </c>
      <c r="AP102" s="7">
        <f t="shared" si="97"/>
        <v>0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">
      <c r="P103">
        <f t="shared" si="110"/>
        <v>50</v>
      </c>
      <c r="Q103">
        <f t="shared" ref="Q103" si="112">P103*$C$6*2/$C$7</f>
        <v>2000</v>
      </c>
      <c r="R103" s="7">
        <f t="shared" si="76"/>
        <v>-2.2619467105846511</v>
      </c>
      <c r="S103" s="7">
        <f t="shared" si="77"/>
        <v>-2.2933626371205489</v>
      </c>
      <c r="T103" s="7">
        <f t="shared" si="78"/>
        <v>-2.1362830044410592</v>
      </c>
      <c r="U103" s="7">
        <f t="shared" si="79"/>
        <v>-2.1362830044410592</v>
      </c>
      <c r="V103" s="7">
        <f t="shared" si="80"/>
        <v>-2.1362830044410592</v>
      </c>
      <c r="W103" s="7">
        <f t="shared" si="81"/>
        <v>-2.6703537555513237</v>
      </c>
      <c r="X103" s="7" t="e">
        <f t="shared" si="82"/>
        <v>#VALUE!</v>
      </c>
      <c r="Y103" s="7" t="e">
        <f t="shared" si="83"/>
        <v>#VALUE!</v>
      </c>
      <c r="Z103" s="7" t="e">
        <f t="shared" si="84"/>
        <v>#VALUE!</v>
      </c>
      <c r="AA103" s="7" t="e">
        <f t="shared" si="85"/>
        <v>#VALUE!</v>
      </c>
      <c r="AB103" s="7" t="e">
        <f t="shared" si="86"/>
        <v>#VALUE!</v>
      </c>
      <c r="AC103" s="7" t="e">
        <f t="shared" si="87"/>
        <v>#VALUE!</v>
      </c>
      <c r="AD103" s="7" t="e">
        <f t="shared" si="88"/>
        <v>#VALUE!</v>
      </c>
      <c r="AE103" s="7" t="e">
        <f t="shared" si="89"/>
        <v>#VALUE!</v>
      </c>
      <c r="AF103" s="7" t="e">
        <f t="shared" si="90"/>
        <v>#VALUE!</v>
      </c>
      <c r="AG103" s="7" t="e">
        <f t="shared" si="91"/>
        <v>#VALUE!</v>
      </c>
      <c r="AH103" s="7">
        <f t="shared" si="108"/>
        <v>12.732395447351628</v>
      </c>
      <c r="AJ103">
        <f t="shared" ref="AJ103" si="113">Q103</f>
        <v>2000</v>
      </c>
      <c r="AK103" s="7">
        <f t="shared" si="92"/>
        <v>0</v>
      </c>
      <c r="AL103" s="7">
        <f t="shared" si="93"/>
        <v>0</v>
      </c>
      <c r="AM103" s="7">
        <f t="shared" si="94"/>
        <v>0</v>
      </c>
      <c r="AN103" s="7">
        <f t="shared" si="95"/>
        <v>0</v>
      </c>
      <c r="AO103" s="7">
        <f t="shared" si="96"/>
        <v>0</v>
      </c>
      <c r="AP103" s="7">
        <f t="shared" si="97"/>
        <v>0</v>
      </c>
      <c r="AQ103" s="7" t="e">
        <f t="shared" si="98"/>
        <v>#VALUE!</v>
      </c>
      <c r="AR103" s="7" t="e">
        <f t="shared" si="99"/>
        <v>#VALUE!</v>
      </c>
      <c r="AS103" s="7" t="e">
        <f t="shared" si="100"/>
        <v>#VALUE!</v>
      </c>
      <c r="AT103" s="7" t="e">
        <f t="shared" si="101"/>
        <v>#VALUE!</v>
      </c>
      <c r="AU103" s="7" t="e">
        <f t="shared" si="102"/>
        <v>#VALUE!</v>
      </c>
      <c r="AV103" s="7" t="e">
        <f t="shared" si="103"/>
        <v>#VALUE!</v>
      </c>
      <c r="AW103" s="7" t="e">
        <f t="shared" si="104"/>
        <v>#VALUE!</v>
      </c>
      <c r="AX103" s="7" t="e">
        <f t="shared" si="105"/>
        <v>#VALUE!</v>
      </c>
      <c r="AY103" s="7" t="e">
        <f t="shared" si="106"/>
        <v>#VALUE!</v>
      </c>
      <c r="AZ103" s="7" t="e">
        <f t="shared" si="107"/>
        <v>#VALUE!</v>
      </c>
    </row>
    <row r="104" spans="16:53" x14ac:dyDescent="0.2">
      <c r="P104" s="7"/>
    </row>
    <row r="105" spans="16:53" x14ac:dyDescent="0.2">
      <c r="P105" s="7"/>
    </row>
    <row r="106" spans="16:53" x14ac:dyDescent="0.2">
      <c r="P106" s="7"/>
    </row>
    <row r="107" spans="16:53" x14ac:dyDescent="0.2">
      <c r="P107" s="7"/>
    </row>
    <row r="108" spans="16:53" x14ac:dyDescent="0.2">
      <c r="P108" s="7"/>
    </row>
    <row r="109" spans="16:53" x14ac:dyDescent="0.2">
      <c r="P109" s="7"/>
    </row>
    <row r="110" spans="16:53" x14ac:dyDescent="0.2">
      <c r="P110" s="7"/>
    </row>
    <row r="111" spans="16:53" x14ac:dyDescent="0.2">
      <c r="P111" s="7"/>
    </row>
    <row r="112" spans="16:53" x14ac:dyDescent="0.2">
      <c r="P112" s="7"/>
    </row>
    <row r="113" spans="16:16" x14ac:dyDescent="0.2">
      <c r="P113" s="7"/>
    </row>
    <row r="114" spans="16:16" x14ac:dyDescent="0.2">
      <c r="P114" s="7"/>
    </row>
    <row r="115" spans="16:16" x14ac:dyDescent="0.2">
      <c r="P115" s="7"/>
    </row>
    <row r="116" spans="16:16" x14ac:dyDescent="0.2">
      <c r="P116" s="7"/>
    </row>
    <row r="117" spans="16:16" x14ac:dyDescent="0.2">
      <c r="P117" s="7"/>
    </row>
    <row r="118" spans="16:16" x14ac:dyDescent="0.2">
      <c r="P118" s="7"/>
    </row>
    <row r="119" spans="16:16" x14ac:dyDescent="0.2">
      <c r="P119" s="7"/>
    </row>
    <row r="120" spans="16:16" x14ac:dyDescent="0.2">
      <c r="P120" s="7"/>
    </row>
    <row r="121" spans="16:16" x14ac:dyDescent="0.2">
      <c r="P121" s="7"/>
    </row>
    <row r="122" spans="16:16" x14ac:dyDescent="0.2">
      <c r="P122" s="7"/>
    </row>
    <row r="123" spans="16:16" x14ac:dyDescent="0.2">
      <c r="P123" s="7"/>
    </row>
    <row r="124" spans="16:16" x14ac:dyDescent="0.2">
      <c r="P124" s="7"/>
    </row>
    <row r="125" spans="16:16" x14ac:dyDescent="0.2">
      <c r="P125" s="7"/>
    </row>
    <row r="126" spans="16:16" x14ac:dyDescent="0.2">
      <c r="P126" s="7"/>
    </row>
    <row r="127" spans="16:16" x14ac:dyDescent="0.2">
      <c r="P127" s="7"/>
    </row>
    <row r="128" spans="16:16" x14ac:dyDescent="0.2">
      <c r="P128" s="7"/>
    </row>
    <row r="129" spans="3:16" x14ac:dyDescent="0.2">
      <c r="P129" s="7"/>
    </row>
    <row r="130" spans="3:16" x14ac:dyDescent="0.2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4:H2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4:J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Database'!$A$3:$A$291</xm:f>
          </x14:formula1>
          <xm:sqref>C41:C56 C14:C29 E41:E48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54"/>
  <sheetViews>
    <sheetView workbookViewId="0">
      <pane ySplit="2" topLeftCell="A26" activePane="bottomLeft" state="frozen"/>
      <selection pane="bottomLeft" activeCell="E55" sqref="E55"/>
    </sheetView>
  </sheetViews>
  <sheetFormatPr defaultColWidth="11.375" defaultRowHeight="14.25" x14ac:dyDescent="0.2"/>
  <cols>
    <col min="1" max="1" width="32.75" customWidth="1"/>
    <col min="2" max="2" width="7.375" style="4" bestFit="1" customWidth="1"/>
    <col min="3" max="3" width="23.875" style="4" bestFit="1" customWidth="1"/>
    <col min="4" max="4" width="9" style="19" customWidth="1"/>
    <col min="5" max="11" width="8.75" style="4" customWidth="1"/>
    <col min="12" max="12" width="14.875" style="4" customWidth="1"/>
    <col min="13" max="13" width="6.875" bestFit="1" customWidth="1"/>
    <col min="14" max="14" width="7" bestFit="1" customWidth="1"/>
    <col min="16" max="16" width="10.875" style="2"/>
  </cols>
  <sheetData>
    <row r="2" spans="1:14" ht="42.75" x14ac:dyDescent="0.2">
      <c r="B2" s="5" t="s">
        <v>10</v>
      </c>
      <c r="C2" s="5" t="s">
        <v>2</v>
      </c>
      <c r="D2" s="18" t="s">
        <v>8</v>
      </c>
      <c r="E2" s="5" t="s">
        <v>59</v>
      </c>
      <c r="F2" s="5" t="s">
        <v>60</v>
      </c>
      <c r="G2" s="5" t="s">
        <v>61</v>
      </c>
      <c r="H2" s="5" t="s">
        <v>62</v>
      </c>
      <c r="I2" s="5" t="s">
        <v>0</v>
      </c>
      <c r="J2" s="5" t="s">
        <v>63</v>
      </c>
      <c r="K2" s="5" t="s">
        <v>5</v>
      </c>
      <c r="L2" s="5" t="s">
        <v>89</v>
      </c>
      <c r="M2" s="6"/>
      <c r="N2" s="6"/>
    </row>
    <row r="3" spans="1:14" x14ac:dyDescent="0.2">
      <c r="A3" t="str">
        <f t="shared" ref="A3:A40" si="0">CONCATENATE(B3,"-",C3)</f>
        <v>FYSETC-MSM-30010-R0005</v>
      </c>
      <c r="B3" s="4" t="s">
        <v>98</v>
      </c>
      <c r="C3" s="4" t="s">
        <v>103</v>
      </c>
      <c r="D3" s="19">
        <v>17</v>
      </c>
      <c r="E3" s="4">
        <v>20</v>
      </c>
      <c r="F3" s="4">
        <v>1.8</v>
      </c>
      <c r="G3" s="4">
        <v>1</v>
      </c>
      <c r="H3" s="4">
        <v>14</v>
      </c>
      <c r="I3" s="4">
        <v>3.6</v>
      </c>
      <c r="J3" s="4">
        <v>4.0999999999999996</v>
      </c>
      <c r="L3" s="4" t="s">
        <v>105</v>
      </c>
      <c r="M3" t="s">
        <v>104</v>
      </c>
    </row>
    <row r="4" spans="1:14" x14ac:dyDescent="0.2">
      <c r="A4" t="str">
        <f t="shared" si="0"/>
        <v>FYSETC-TB-3544</v>
      </c>
      <c r="B4" s="4" t="s">
        <v>98</v>
      </c>
      <c r="C4" s="4" t="s">
        <v>101</v>
      </c>
      <c r="D4" s="19">
        <v>17</v>
      </c>
      <c r="E4" s="4">
        <v>39</v>
      </c>
      <c r="F4" s="4">
        <v>1.8</v>
      </c>
      <c r="G4" s="4">
        <v>1.5</v>
      </c>
      <c r="H4" s="4">
        <v>50</v>
      </c>
      <c r="I4" s="4">
        <v>3.8</v>
      </c>
      <c r="J4" s="4">
        <v>1.8</v>
      </c>
      <c r="K4" s="4">
        <v>55</v>
      </c>
      <c r="L4" s="4" t="s">
        <v>102</v>
      </c>
      <c r="M4" t="s">
        <v>100</v>
      </c>
    </row>
    <row r="5" spans="1:14" x14ac:dyDescent="0.2">
      <c r="A5" t="str">
        <f t="shared" si="0"/>
        <v>LDO-35STH48-1504AH(VRN)</v>
      </c>
      <c r="B5" s="4" t="s">
        <v>12</v>
      </c>
      <c r="C5" s="4" t="s">
        <v>129</v>
      </c>
      <c r="D5" s="19">
        <v>14</v>
      </c>
      <c r="E5" s="4">
        <v>52</v>
      </c>
      <c r="F5" s="4">
        <v>1.8</v>
      </c>
      <c r="G5" s="4">
        <v>1.5</v>
      </c>
      <c r="H5" s="4">
        <v>37</v>
      </c>
      <c r="I5" s="4">
        <v>3.8</v>
      </c>
      <c r="J5" s="4">
        <v>2.8</v>
      </c>
      <c r="K5" s="4">
        <v>51.8</v>
      </c>
      <c r="L5" s="4" t="s">
        <v>130</v>
      </c>
    </row>
    <row r="6" spans="1:14" x14ac:dyDescent="0.2">
      <c r="A6" t="str">
        <f t="shared" si="0"/>
        <v>LDO-35STH48-1684AHVRN</v>
      </c>
      <c r="B6" s="4" t="s">
        <v>12</v>
      </c>
      <c r="C6" s="4" t="s">
        <v>86</v>
      </c>
      <c r="D6" s="19">
        <v>14</v>
      </c>
      <c r="E6" s="4">
        <v>48</v>
      </c>
      <c r="F6" s="4">
        <v>1.8</v>
      </c>
      <c r="G6" s="4">
        <v>1.68</v>
      </c>
      <c r="H6" s="4">
        <v>40</v>
      </c>
      <c r="I6" s="4">
        <v>2.8</v>
      </c>
      <c r="J6" s="4">
        <v>1.65</v>
      </c>
      <c r="K6" s="4">
        <v>49</v>
      </c>
      <c r="L6" s="4" t="s">
        <v>99</v>
      </c>
    </row>
    <row r="7" spans="1:14" x14ac:dyDescent="0.2">
      <c r="A7" t="str">
        <f t="shared" si="0"/>
        <v>LDO-36STH20-1004AHG(XH)</v>
      </c>
      <c r="B7" s="4" t="s">
        <v>12</v>
      </c>
      <c r="C7" s="4" t="s">
        <v>136</v>
      </c>
      <c r="D7" s="19">
        <v>14</v>
      </c>
      <c r="E7" s="4">
        <v>20</v>
      </c>
      <c r="F7" s="4">
        <v>1.8</v>
      </c>
      <c r="G7" s="4">
        <v>1</v>
      </c>
      <c r="H7" s="4">
        <v>10</v>
      </c>
      <c r="I7" s="4">
        <v>1.6</v>
      </c>
      <c r="J7" s="4">
        <v>2.1</v>
      </c>
      <c r="K7" s="4">
        <v>16</v>
      </c>
    </row>
    <row r="8" spans="1:14" x14ac:dyDescent="0.2">
      <c r="A8" t="str">
        <f t="shared" si="0"/>
        <v>LDO-42STH20-1004ASH</v>
      </c>
      <c r="B8" s="4" t="s">
        <v>12</v>
      </c>
      <c r="C8" s="4" t="s">
        <v>90</v>
      </c>
      <c r="D8" s="19">
        <v>17</v>
      </c>
      <c r="E8" s="4">
        <v>20</v>
      </c>
      <c r="F8" s="4">
        <v>1.8</v>
      </c>
      <c r="G8" s="4">
        <v>1</v>
      </c>
      <c r="H8" s="4">
        <v>18</v>
      </c>
      <c r="I8" s="4">
        <v>7</v>
      </c>
      <c r="J8" s="4">
        <v>7.2</v>
      </c>
      <c r="K8" s="4">
        <v>21.4</v>
      </c>
      <c r="M8" t="s">
        <v>91</v>
      </c>
    </row>
    <row r="9" spans="1:14" ht="15" x14ac:dyDescent="0.25">
      <c r="A9" t="str">
        <f t="shared" si="0"/>
        <v>LDO-42STH38-1684MAC</v>
      </c>
      <c r="B9" s="9" t="s">
        <v>12</v>
      </c>
      <c r="C9" s="9" t="s">
        <v>20</v>
      </c>
      <c r="D9" s="20">
        <v>17</v>
      </c>
      <c r="E9" s="9">
        <v>40</v>
      </c>
      <c r="F9" s="9">
        <v>0.9</v>
      </c>
      <c r="G9" s="9">
        <v>1.68</v>
      </c>
      <c r="H9" s="9">
        <v>32</v>
      </c>
      <c r="I9" s="9">
        <v>3.2</v>
      </c>
      <c r="J9" s="9">
        <v>1.65</v>
      </c>
      <c r="K9" s="9">
        <v>54</v>
      </c>
      <c r="L9" s="9"/>
      <c r="M9" s="8" t="s">
        <v>74</v>
      </c>
    </row>
    <row r="10" spans="1:14" x14ac:dyDescent="0.2">
      <c r="A10" t="str">
        <f t="shared" si="0"/>
        <v>LDO-42STH40-1004MAH(VRN)</v>
      </c>
      <c r="B10" s="4" t="s">
        <v>12</v>
      </c>
      <c r="C10" s="4" t="s">
        <v>140</v>
      </c>
      <c r="D10" s="19">
        <v>17</v>
      </c>
      <c r="E10" s="4">
        <v>40</v>
      </c>
      <c r="F10" s="4">
        <v>0.9</v>
      </c>
      <c r="G10" s="4">
        <v>1</v>
      </c>
      <c r="H10" s="4">
        <v>39</v>
      </c>
      <c r="I10" s="4">
        <v>11.5</v>
      </c>
      <c r="J10" s="4">
        <v>4.0999999999999996</v>
      </c>
      <c r="K10" s="22">
        <v>62</v>
      </c>
      <c r="M10" s="8" t="s">
        <v>139</v>
      </c>
    </row>
    <row r="11" spans="1:14" x14ac:dyDescent="0.2">
      <c r="A11" t="str">
        <f t="shared" si="0"/>
        <v>LDO-42STH40-1684AC</v>
      </c>
      <c r="B11" s="4" t="s">
        <v>12</v>
      </c>
      <c r="C11" s="4" t="s">
        <v>107</v>
      </c>
      <c r="D11" s="19">
        <v>17</v>
      </c>
      <c r="E11" s="4">
        <v>40</v>
      </c>
      <c r="F11" s="4">
        <v>1.8</v>
      </c>
      <c r="G11" s="4">
        <v>1.68</v>
      </c>
      <c r="H11" s="4">
        <v>36</v>
      </c>
      <c r="I11" s="4">
        <v>3.6</v>
      </c>
      <c r="J11" s="4">
        <v>1.65</v>
      </c>
      <c r="K11" s="4">
        <v>54</v>
      </c>
      <c r="M11" t="s">
        <v>108</v>
      </c>
    </row>
    <row r="12" spans="1:14" ht="15" x14ac:dyDescent="0.25">
      <c r="A12" t="str">
        <f t="shared" si="0"/>
        <v>LDO-42STH40-2004MAH(VRN)</v>
      </c>
      <c r="B12" s="9" t="s">
        <v>12</v>
      </c>
      <c r="C12" s="9" t="s">
        <v>23</v>
      </c>
      <c r="D12" s="20">
        <v>17</v>
      </c>
      <c r="E12" s="9">
        <v>40</v>
      </c>
      <c r="F12" s="9">
        <v>0.9</v>
      </c>
      <c r="G12" s="9">
        <v>2</v>
      </c>
      <c r="H12" s="9">
        <v>35</v>
      </c>
      <c r="I12" s="9">
        <v>2.8</v>
      </c>
      <c r="J12" s="9">
        <v>1.1000000000000001</v>
      </c>
      <c r="K12" s="9">
        <v>71</v>
      </c>
      <c r="L12" s="9"/>
      <c r="M12" s="8" t="s">
        <v>78</v>
      </c>
    </row>
    <row r="13" spans="1:14" ht="15" x14ac:dyDescent="0.25">
      <c r="A13" t="str">
        <f t="shared" si="0"/>
        <v>LDO-42STH47-1684AC</v>
      </c>
      <c r="B13" s="9" t="s">
        <v>12</v>
      </c>
      <c r="C13" s="9" t="s">
        <v>17</v>
      </c>
      <c r="D13" s="20">
        <v>17</v>
      </c>
      <c r="E13" s="9">
        <v>48</v>
      </c>
      <c r="F13" s="9">
        <v>1.8</v>
      </c>
      <c r="G13" s="9">
        <v>1.68</v>
      </c>
      <c r="H13" s="9">
        <v>49</v>
      </c>
      <c r="I13" s="9">
        <v>2.8</v>
      </c>
      <c r="J13" s="9">
        <v>1.65</v>
      </c>
      <c r="K13" s="9">
        <v>68</v>
      </c>
      <c r="L13" s="9"/>
      <c r="M13" s="8" t="s">
        <v>71</v>
      </c>
    </row>
    <row r="14" spans="1:14" x14ac:dyDescent="0.2">
      <c r="A14" t="str">
        <f t="shared" si="0"/>
        <v>LDO-42STH47-2504AC</v>
      </c>
      <c r="B14" s="4" t="s">
        <v>12</v>
      </c>
      <c r="C14" s="4" t="s">
        <v>96</v>
      </c>
      <c r="D14" s="19">
        <v>17</v>
      </c>
      <c r="E14" s="4">
        <v>48</v>
      </c>
      <c r="F14" s="4">
        <v>1.8</v>
      </c>
      <c r="G14" s="4">
        <v>2.5</v>
      </c>
      <c r="H14" s="4">
        <f>5.5*9.8</f>
        <v>53.900000000000006</v>
      </c>
      <c r="I14" s="4">
        <v>1.8</v>
      </c>
      <c r="J14" s="4">
        <v>1.25</v>
      </c>
      <c r="K14" s="4">
        <v>68</v>
      </c>
    </row>
    <row r="15" spans="1:14" ht="15" x14ac:dyDescent="0.25">
      <c r="A15" t="str">
        <f t="shared" si="0"/>
        <v>LDO-42STH48-1684MAH</v>
      </c>
      <c r="B15" s="9" t="s">
        <v>12</v>
      </c>
      <c r="C15" s="9" t="s">
        <v>18</v>
      </c>
      <c r="D15" s="20">
        <v>17</v>
      </c>
      <c r="E15" s="9">
        <v>48</v>
      </c>
      <c r="F15" s="9">
        <v>0.9</v>
      </c>
      <c r="G15" s="9">
        <v>1.68</v>
      </c>
      <c r="H15" s="9">
        <v>39</v>
      </c>
      <c r="I15" s="9">
        <v>2.8</v>
      </c>
      <c r="J15" s="9">
        <v>1.65</v>
      </c>
      <c r="K15" s="9">
        <v>68</v>
      </c>
      <c r="L15" s="9"/>
      <c r="M15" s="8" t="s">
        <v>72</v>
      </c>
    </row>
    <row r="16" spans="1:14" ht="15" x14ac:dyDescent="0.25">
      <c r="A16" t="str">
        <f t="shared" si="0"/>
        <v>LDO-42STH48-2004AC(VRN)</v>
      </c>
      <c r="B16" s="9" t="s">
        <v>12</v>
      </c>
      <c r="C16" s="9" t="s">
        <v>138</v>
      </c>
      <c r="D16" s="20">
        <v>17</v>
      </c>
      <c r="E16" s="9">
        <v>48</v>
      </c>
      <c r="F16" s="9">
        <v>1.8</v>
      </c>
      <c r="G16" s="9">
        <v>2</v>
      </c>
      <c r="H16" s="9">
        <v>59</v>
      </c>
      <c r="I16" s="9">
        <v>3</v>
      </c>
      <c r="J16" s="9">
        <v>1.6</v>
      </c>
      <c r="K16" s="9">
        <v>85</v>
      </c>
      <c r="L16" s="9"/>
      <c r="M16" s="8" t="s">
        <v>76</v>
      </c>
    </row>
    <row r="17" spans="1:13" x14ac:dyDescent="0.2">
      <c r="A17" t="str">
        <f t="shared" si="0"/>
        <v>LDO-42STH48-2004AH</v>
      </c>
      <c r="B17" s="4" t="s">
        <v>12</v>
      </c>
      <c r="C17" s="4" t="s">
        <v>94</v>
      </c>
      <c r="D17" s="19">
        <v>17</v>
      </c>
      <c r="E17" s="4">
        <v>48</v>
      </c>
      <c r="F17" s="4">
        <v>1.8</v>
      </c>
      <c r="G17" s="4">
        <v>2</v>
      </c>
      <c r="H17" s="4">
        <v>59</v>
      </c>
      <c r="I17" s="4">
        <v>3</v>
      </c>
      <c r="J17" s="4">
        <v>1.4</v>
      </c>
      <c r="K17" s="4">
        <v>68</v>
      </c>
      <c r="M17" t="s">
        <v>95</v>
      </c>
    </row>
    <row r="18" spans="1:13" x14ac:dyDescent="0.2">
      <c r="A18" t="str">
        <f t="shared" si="0"/>
        <v>LDO-42STH48-2004MAH(VRN)</v>
      </c>
      <c r="B18" s="4" t="s">
        <v>12</v>
      </c>
      <c r="C18" s="4" t="s">
        <v>137</v>
      </c>
      <c r="D18" s="19">
        <v>17</v>
      </c>
      <c r="E18" s="4">
        <v>48</v>
      </c>
      <c r="F18" s="4">
        <v>0.9</v>
      </c>
      <c r="G18" s="4">
        <v>2</v>
      </c>
      <c r="H18" s="4">
        <v>40</v>
      </c>
      <c r="I18" s="4">
        <v>2</v>
      </c>
      <c r="J18" s="4">
        <v>1.45</v>
      </c>
      <c r="K18" s="4">
        <v>68</v>
      </c>
    </row>
    <row r="19" spans="1:13" x14ac:dyDescent="0.2">
      <c r="A19" t="str">
        <f t="shared" si="0"/>
        <v>LDO-42STH48-2504AC</v>
      </c>
      <c r="B19" s="4" t="s">
        <v>12</v>
      </c>
      <c r="C19" s="4" t="s">
        <v>135</v>
      </c>
      <c r="D19" s="19">
        <v>17</v>
      </c>
      <c r="E19" s="4">
        <v>48</v>
      </c>
      <c r="F19" s="4">
        <v>1.8</v>
      </c>
      <c r="G19" s="4">
        <v>2.5</v>
      </c>
      <c r="H19" s="4">
        <v>55</v>
      </c>
      <c r="I19" s="4">
        <v>1.5</v>
      </c>
      <c r="J19" s="4">
        <v>1.2</v>
      </c>
      <c r="K19" s="4">
        <v>84.5</v>
      </c>
    </row>
    <row r="20" spans="1:13" x14ac:dyDescent="0.2">
      <c r="A20" t="str">
        <f t="shared" si="0"/>
        <v>LDO-42STH48-2504AH</v>
      </c>
      <c r="B20" s="4" t="s">
        <v>12</v>
      </c>
      <c r="C20" s="4" t="s">
        <v>134</v>
      </c>
      <c r="D20" s="19">
        <v>17</v>
      </c>
      <c r="E20" s="4">
        <v>48</v>
      </c>
      <c r="F20" s="4">
        <v>1.8</v>
      </c>
      <c r="G20" s="4">
        <v>2.5</v>
      </c>
      <c r="H20" s="4">
        <v>55</v>
      </c>
      <c r="I20" s="4">
        <v>1.5</v>
      </c>
      <c r="J20" s="4">
        <v>1.2</v>
      </c>
      <c r="K20" s="4">
        <v>84.5</v>
      </c>
    </row>
    <row r="21" spans="1:13" ht="15" x14ac:dyDescent="0.25">
      <c r="A21" t="str">
        <f t="shared" si="0"/>
        <v>LDO-42STH60-2004AH</v>
      </c>
      <c r="B21" s="9" t="s">
        <v>12</v>
      </c>
      <c r="C21" s="9" t="s">
        <v>19</v>
      </c>
      <c r="D21" s="20">
        <v>17</v>
      </c>
      <c r="E21" s="9">
        <v>60</v>
      </c>
      <c r="F21" s="9">
        <v>1.8</v>
      </c>
      <c r="G21" s="9">
        <v>2</v>
      </c>
      <c r="H21" s="9">
        <v>83</v>
      </c>
      <c r="I21" s="9">
        <v>3.3</v>
      </c>
      <c r="J21" s="9">
        <v>2</v>
      </c>
      <c r="K21" s="9">
        <v>102</v>
      </c>
      <c r="L21" s="9"/>
      <c r="M21" s="8" t="s">
        <v>73</v>
      </c>
    </row>
    <row r="22" spans="1:13" ht="15" x14ac:dyDescent="0.25">
      <c r="A22" t="str">
        <f t="shared" si="0"/>
        <v>LDO-42STH60-2004MAC (Railcore)</v>
      </c>
      <c r="B22" s="9" t="s">
        <v>12</v>
      </c>
      <c r="C22" s="9" t="s">
        <v>21</v>
      </c>
      <c r="D22" s="20">
        <v>17</v>
      </c>
      <c r="E22" s="9">
        <v>60</v>
      </c>
      <c r="F22" s="9">
        <v>0.9</v>
      </c>
      <c r="G22" s="9">
        <v>2</v>
      </c>
      <c r="H22" s="9">
        <v>59</v>
      </c>
      <c r="I22" s="9">
        <v>3</v>
      </c>
      <c r="J22" s="9">
        <v>1.4</v>
      </c>
      <c r="K22" s="9">
        <v>120</v>
      </c>
      <c r="L22" s="9"/>
      <c r="M22" s="8" t="s">
        <v>75</v>
      </c>
    </row>
    <row r="23" spans="1:13" x14ac:dyDescent="0.2">
      <c r="A23" t="str">
        <f t="shared" si="0"/>
        <v>LDO-42STH60-2004MAH</v>
      </c>
      <c r="B23" s="4" t="s">
        <v>12</v>
      </c>
      <c r="C23" s="4" t="s">
        <v>92</v>
      </c>
      <c r="D23" s="19">
        <v>17</v>
      </c>
      <c r="E23" s="4">
        <v>60</v>
      </c>
      <c r="F23" s="4">
        <v>0.9</v>
      </c>
      <c r="G23" s="4">
        <v>2</v>
      </c>
      <c r="H23" s="4">
        <f>9.8*6</f>
        <v>58.800000000000004</v>
      </c>
      <c r="I23" s="4">
        <v>3</v>
      </c>
      <c r="J23" s="4">
        <v>1.4</v>
      </c>
      <c r="K23" s="4">
        <v>120</v>
      </c>
      <c r="M23" t="s">
        <v>93</v>
      </c>
    </row>
    <row r="24" spans="1:13" ht="15" x14ac:dyDescent="0.25">
      <c r="A24" t="str">
        <f t="shared" si="0"/>
        <v>Moons-MS14HA1P4150</v>
      </c>
      <c r="B24" s="9" t="s">
        <v>13</v>
      </c>
      <c r="C24" s="9" t="s">
        <v>27</v>
      </c>
      <c r="D24" s="20">
        <v>14</v>
      </c>
      <c r="E24" s="9">
        <v>27</v>
      </c>
      <c r="F24" s="9">
        <v>0.9</v>
      </c>
      <c r="G24" s="9">
        <v>1.5</v>
      </c>
      <c r="H24" s="9">
        <v>11</v>
      </c>
      <c r="I24" s="9">
        <v>1.8</v>
      </c>
      <c r="J24" s="9">
        <v>1.55</v>
      </c>
      <c r="K24" s="9">
        <v>12</v>
      </c>
      <c r="L24" s="9"/>
      <c r="M24" s="8" t="s">
        <v>83</v>
      </c>
    </row>
    <row r="25" spans="1:13" ht="15" x14ac:dyDescent="0.25">
      <c r="A25" t="str">
        <f t="shared" si="0"/>
        <v>Moons-MS14HA3P4150</v>
      </c>
      <c r="B25" s="9" t="s">
        <v>13</v>
      </c>
      <c r="C25" s="9" t="s">
        <v>9</v>
      </c>
      <c r="D25" s="20">
        <v>14</v>
      </c>
      <c r="E25" s="9">
        <v>36</v>
      </c>
      <c r="F25" s="9">
        <v>0.9</v>
      </c>
      <c r="G25" s="9">
        <v>1.5</v>
      </c>
      <c r="H25" s="9">
        <v>18</v>
      </c>
      <c r="I25" s="9">
        <v>2.2000000000000002</v>
      </c>
      <c r="J25" s="9">
        <v>1.61</v>
      </c>
      <c r="K25" s="9">
        <v>20</v>
      </c>
      <c r="L25" s="9"/>
      <c r="M25" s="8" t="s">
        <v>81</v>
      </c>
    </row>
    <row r="26" spans="1:13" ht="15" x14ac:dyDescent="0.25">
      <c r="A26" t="str">
        <f t="shared" si="0"/>
        <v>Moons-MS17HA2P4150 </v>
      </c>
      <c r="B26" s="10" t="s">
        <v>13</v>
      </c>
      <c r="C26" s="9" t="s">
        <v>64</v>
      </c>
      <c r="D26" s="21">
        <v>17</v>
      </c>
      <c r="E26" s="10">
        <v>39.799999999999997</v>
      </c>
      <c r="F26" s="10">
        <v>0.9</v>
      </c>
      <c r="G26" s="10">
        <v>1.5</v>
      </c>
      <c r="H26" s="10">
        <v>40</v>
      </c>
      <c r="I26" s="10">
        <v>5.4</v>
      </c>
      <c r="J26" s="10">
        <v>1.98</v>
      </c>
      <c r="K26" s="10">
        <v>57</v>
      </c>
      <c r="L26" s="10"/>
      <c r="M26" s="8" t="s">
        <v>65</v>
      </c>
    </row>
    <row r="27" spans="1:13" ht="15" x14ac:dyDescent="0.25">
      <c r="A27" t="str">
        <f t="shared" si="0"/>
        <v>Moons-MS17HA2P4200</v>
      </c>
      <c r="B27" s="9" t="s">
        <v>13</v>
      </c>
      <c r="C27" s="9" t="s">
        <v>22</v>
      </c>
      <c r="D27" s="20">
        <v>17</v>
      </c>
      <c r="E27" s="9">
        <v>40</v>
      </c>
      <c r="F27" s="9">
        <v>0.9</v>
      </c>
      <c r="G27" s="9">
        <v>2</v>
      </c>
      <c r="H27" s="9">
        <v>39</v>
      </c>
      <c r="I27" s="9">
        <v>2.8</v>
      </c>
      <c r="J27" s="9">
        <v>1.05</v>
      </c>
      <c r="K27" s="9">
        <v>57</v>
      </c>
      <c r="L27" s="9"/>
      <c r="M27" s="8" t="s">
        <v>77</v>
      </c>
    </row>
    <row r="28" spans="1:13" ht="15" x14ac:dyDescent="0.25">
      <c r="A28" t="str">
        <f t="shared" si="0"/>
        <v>Moons-MS17HDBP4100</v>
      </c>
      <c r="B28" s="9" t="s">
        <v>13</v>
      </c>
      <c r="C28" s="9" t="s">
        <v>28</v>
      </c>
      <c r="D28" s="20">
        <v>17</v>
      </c>
      <c r="E28" s="9">
        <v>63</v>
      </c>
      <c r="F28" s="9">
        <v>1.8</v>
      </c>
      <c r="G28" s="9">
        <v>1</v>
      </c>
      <c r="H28" s="9">
        <v>82</v>
      </c>
      <c r="I28" s="9">
        <v>14.6</v>
      </c>
      <c r="J28" s="9">
        <v>5.6</v>
      </c>
      <c r="K28" s="9">
        <v>123</v>
      </c>
      <c r="L28" s="9"/>
      <c r="M28" s="8" t="s">
        <v>84</v>
      </c>
    </row>
    <row r="29" spans="1:13" ht="15" x14ac:dyDescent="0.25">
      <c r="A29" t="s">
        <v>159</v>
      </c>
      <c r="B29" s="9" t="s">
        <v>161</v>
      </c>
      <c r="C29" s="9" t="s">
        <v>160</v>
      </c>
      <c r="D29" s="20">
        <v>17</v>
      </c>
      <c r="E29" s="9">
        <v>48</v>
      </c>
      <c r="F29" s="9">
        <v>1.8</v>
      </c>
      <c r="G29" s="9">
        <v>2</v>
      </c>
      <c r="H29" s="9">
        <v>67</v>
      </c>
      <c r="I29" s="9">
        <v>2.7</v>
      </c>
      <c r="J29" s="9">
        <v>1.3</v>
      </c>
      <c r="K29" s="9">
        <v>82</v>
      </c>
      <c r="L29" s="9"/>
      <c r="M29" s="8"/>
    </row>
    <row r="30" spans="1:13" ht="15" x14ac:dyDescent="0.25">
      <c r="A30" t="str">
        <f t="shared" si="0"/>
        <v>OMC-14HS10-0404S</v>
      </c>
      <c r="B30" s="9" t="s">
        <v>11</v>
      </c>
      <c r="C30" s="9" t="s">
        <v>87</v>
      </c>
      <c r="D30" s="20">
        <v>14</v>
      </c>
      <c r="E30" s="9">
        <v>26</v>
      </c>
      <c r="F30" s="9">
        <v>1.8</v>
      </c>
      <c r="G30" s="9">
        <v>0.4</v>
      </c>
      <c r="H30" s="9">
        <v>14</v>
      </c>
      <c r="I30" s="9">
        <v>30</v>
      </c>
      <c r="J30" s="9">
        <v>30</v>
      </c>
      <c r="K30" s="9">
        <v>12</v>
      </c>
      <c r="L30" s="9"/>
      <c r="M30" s="8" t="s">
        <v>88</v>
      </c>
    </row>
    <row r="31" spans="1:13" ht="15" x14ac:dyDescent="0.25">
      <c r="A31" t="str">
        <f t="shared" si="0"/>
        <v>OMC-14HS13-0804S</v>
      </c>
      <c r="B31" s="9" t="s">
        <v>11</v>
      </c>
      <c r="C31" s="9" t="s">
        <v>29</v>
      </c>
      <c r="D31" s="20">
        <v>14</v>
      </c>
      <c r="E31" s="9">
        <v>34</v>
      </c>
      <c r="F31" s="9">
        <v>1.8</v>
      </c>
      <c r="G31" s="9">
        <v>0.8</v>
      </c>
      <c r="H31" s="9">
        <v>18</v>
      </c>
      <c r="I31" s="9">
        <v>10</v>
      </c>
      <c r="J31" s="9">
        <v>6.8</v>
      </c>
      <c r="K31" s="9">
        <v>14</v>
      </c>
      <c r="L31" s="9"/>
      <c r="M31" s="8" t="s">
        <v>85</v>
      </c>
    </row>
    <row r="32" spans="1:13" ht="15" x14ac:dyDescent="0.25">
      <c r="A32" t="str">
        <f t="shared" si="0"/>
        <v>OMC-14HS17-0504S</v>
      </c>
      <c r="B32" s="9" t="s">
        <v>11</v>
      </c>
      <c r="C32" s="9" t="s">
        <v>24</v>
      </c>
      <c r="D32" s="20">
        <v>14</v>
      </c>
      <c r="E32" s="9">
        <v>42</v>
      </c>
      <c r="F32" s="9">
        <v>1.8</v>
      </c>
      <c r="G32" s="9">
        <v>0.5</v>
      </c>
      <c r="H32" s="9">
        <v>23</v>
      </c>
      <c r="I32" s="9">
        <v>26</v>
      </c>
      <c r="J32" s="9">
        <v>15</v>
      </c>
      <c r="K32" s="9">
        <v>18</v>
      </c>
      <c r="L32" s="9"/>
      <c r="M32" s="8" t="s">
        <v>79</v>
      </c>
    </row>
    <row r="33" spans="1:13" ht="15" x14ac:dyDescent="0.25">
      <c r="A33" t="str">
        <f t="shared" si="0"/>
        <v>OMC-14HS20-1504S</v>
      </c>
      <c r="B33" s="9" t="s">
        <v>11</v>
      </c>
      <c r="C33" s="9" t="s">
        <v>25</v>
      </c>
      <c r="D33" s="20">
        <v>14</v>
      </c>
      <c r="E33" s="9">
        <v>52</v>
      </c>
      <c r="F33" s="9">
        <v>1.8</v>
      </c>
      <c r="G33" s="9">
        <v>1.5</v>
      </c>
      <c r="H33" s="9">
        <v>40</v>
      </c>
      <c r="I33" s="9">
        <v>3.8</v>
      </c>
      <c r="J33" s="9">
        <v>2.8</v>
      </c>
      <c r="K33" s="9">
        <v>54</v>
      </c>
      <c r="L33" s="9" t="s">
        <v>99</v>
      </c>
      <c r="M33" s="8" t="s">
        <v>80</v>
      </c>
    </row>
    <row r="34" spans="1:13" ht="15" x14ac:dyDescent="0.25">
      <c r="A34" t="str">
        <f t="shared" si="0"/>
        <v>OMC-17HM19-1684S</v>
      </c>
      <c r="B34" s="9" t="s">
        <v>11</v>
      </c>
      <c r="C34" s="9" t="s">
        <v>16</v>
      </c>
      <c r="D34" s="20">
        <v>17</v>
      </c>
      <c r="E34" s="9">
        <v>48</v>
      </c>
      <c r="F34" s="9">
        <v>0.9</v>
      </c>
      <c r="G34" s="9">
        <v>1.68</v>
      </c>
      <c r="H34" s="9">
        <v>44</v>
      </c>
      <c r="I34" s="9">
        <v>4.0999999999999996</v>
      </c>
      <c r="J34" s="9">
        <v>1.65</v>
      </c>
      <c r="K34" s="9">
        <v>68</v>
      </c>
      <c r="L34" s="9"/>
      <c r="M34" s="8" t="s">
        <v>70</v>
      </c>
    </row>
    <row r="35" spans="1:13" ht="15" x14ac:dyDescent="0.25">
      <c r="A35" t="str">
        <f t="shared" si="0"/>
        <v>OMC-17HM19-2004S</v>
      </c>
      <c r="B35" s="9" t="s">
        <v>11</v>
      </c>
      <c r="C35" s="9" t="s">
        <v>15</v>
      </c>
      <c r="D35" s="20">
        <v>17</v>
      </c>
      <c r="E35" s="9">
        <v>48</v>
      </c>
      <c r="F35" s="9">
        <v>0.9</v>
      </c>
      <c r="G35" s="9">
        <v>2</v>
      </c>
      <c r="H35" s="9">
        <v>46</v>
      </c>
      <c r="I35" s="9">
        <v>4</v>
      </c>
      <c r="J35" s="9">
        <v>1.45</v>
      </c>
      <c r="K35" s="9">
        <v>82</v>
      </c>
      <c r="L35" s="9"/>
      <c r="M35" s="8" t="s">
        <v>69</v>
      </c>
    </row>
    <row r="36" spans="1:13" x14ac:dyDescent="0.2">
      <c r="A36" t="str">
        <f t="shared" si="0"/>
        <v>OMC-17HS08-1004S</v>
      </c>
      <c r="B36" s="4" t="s">
        <v>11</v>
      </c>
      <c r="C36" s="4" t="s">
        <v>106</v>
      </c>
      <c r="D36" s="19">
        <v>17</v>
      </c>
      <c r="E36" s="4">
        <v>20</v>
      </c>
      <c r="F36" s="4">
        <v>1.8</v>
      </c>
      <c r="G36" s="4">
        <v>1</v>
      </c>
      <c r="H36" s="4">
        <v>16</v>
      </c>
      <c r="I36" s="4">
        <v>3.7</v>
      </c>
      <c r="J36" s="4">
        <v>4.5</v>
      </c>
      <c r="K36" s="4">
        <v>22</v>
      </c>
    </row>
    <row r="37" spans="1:13" ht="15" x14ac:dyDescent="0.25">
      <c r="A37" t="str">
        <f t="shared" si="0"/>
        <v>OMC-17HS13-0404S1</v>
      </c>
      <c r="B37" s="9" t="s">
        <v>11</v>
      </c>
      <c r="C37" s="9" t="s">
        <v>26</v>
      </c>
      <c r="D37" s="20">
        <v>17</v>
      </c>
      <c r="E37" s="9">
        <v>34</v>
      </c>
      <c r="F37" s="9">
        <v>1.8</v>
      </c>
      <c r="G37" s="9">
        <v>0.4</v>
      </c>
      <c r="H37" s="9">
        <v>26</v>
      </c>
      <c r="I37" s="9">
        <v>37</v>
      </c>
      <c r="J37" s="9">
        <v>30</v>
      </c>
      <c r="K37" s="9">
        <v>38</v>
      </c>
      <c r="L37" s="9"/>
      <c r="M37" s="8" t="s">
        <v>82</v>
      </c>
    </row>
    <row r="38" spans="1:13" ht="15" x14ac:dyDescent="0.25">
      <c r="A38" t="str">
        <f t="shared" si="0"/>
        <v>OMC-17HS16-2004S1</v>
      </c>
      <c r="B38" s="9" t="s">
        <v>11</v>
      </c>
      <c r="C38" s="9" t="s">
        <v>14</v>
      </c>
      <c r="D38" s="20">
        <v>17</v>
      </c>
      <c r="E38" s="9">
        <v>40</v>
      </c>
      <c r="F38" s="9">
        <v>1.8</v>
      </c>
      <c r="G38" s="9">
        <v>2</v>
      </c>
      <c r="H38" s="9">
        <v>45</v>
      </c>
      <c r="I38" s="9">
        <v>2.6</v>
      </c>
      <c r="J38" s="9">
        <v>1.1000000000000001</v>
      </c>
      <c r="K38" s="9">
        <v>54</v>
      </c>
      <c r="L38" s="9"/>
      <c r="M38" s="8" t="s">
        <v>68</v>
      </c>
    </row>
    <row r="39" spans="1:13" ht="15" x14ac:dyDescent="0.25">
      <c r="A39" t="str">
        <f t="shared" si="0"/>
        <v>OMC-17HS19-2004S1</v>
      </c>
      <c r="B39" s="9" t="s">
        <v>11</v>
      </c>
      <c r="C39" s="9" t="s">
        <v>66</v>
      </c>
      <c r="D39" s="20">
        <v>17</v>
      </c>
      <c r="E39" s="9">
        <v>48</v>
      </c>
      <c r="F39" s="9">
        <v>1.8</v>
      </c>
      <c r="G39" s="9">
        <v>2</v>
      </c>
      <c r="H39" s="9">
        <v>59</v>
      </c>
      <c r="I39" s="9">
        <v>3</v>
      </c>
      <c r="J39" s="9">
        <v>1.4</v>
      </c>
      <c r="K39" s="9">
        <v>82</v>
      </c>
      <c r="L39" s="9"/>
      <c r="M39" s="8" t="s">
        <v>67</v>
      </c>
    </row>
    <row r="40" spans="1:13" x14ac:dyDescent="0.2">
      <c r="A40" t="str">
        <f t="shared" si="0"/>
        <v>OMC-17HS24-2104S</v>
      </c>
      <c r="B40" s="4" t="s">
        <v>11</v>
      </c>
      <c r="C40" s="4" t="s">
        <v>97</v>
      </c>
      <c r="D40" s="19">
        <v>17</v>
      </c>
      <c r="E40" s="4">
        <v>60</v>
      </c>
      <c r="F40" s="4">
        <v>1.8</v>
      </c>
      <c r="G40" s="4">
        <v>2.1</v>
      </c>
      <c r="H40" s="4">
        <v>65</v>
      </c>
      <c r="I40" s="4">
        <v>3</v>
      </c>
      <c r="J40" s="4">
        <v>1.6</v>
      </c>
      <c r="K40" s="4">
        <v>148</v>
      </c>
    </row>
    <row r="41" spans="1:13" x14ac:dyDescent="0.2">
      <c r="A41" t="s">
        <v>141</v>
      </c>
      <c r="B41" s="4" t="s">
        <v>142</v>
      </c>
      <c r="C41" s="4" t="s">
        <v>143</v>
      </c>
      <c r="D41" s="19">
        <v>17</v>
      </c>
      <c r="E41" s="4">
        <v>40</v>
      </c>
      <c r="F41" s="4">
        <v>1.8</v>
      </c>
      <c r="G41" s="4">
        <v>1.7</v>
      </c>
      <c r="H41" s="4">
        <v>40</v>
      </c>
      <c r="I41" s="4">
        <v>2.8</v>
      </c>
      <c r="J41" s="4">
        <v>1.5</v>
      </c>
      <c r="K41" s="4">
        <v>54</v>
      </c>
    </row>
    <row r="42" spans="1:13" x14ac:dyDescent="0.2">
      <c r="A42" t="s">
        <v>150</v>
      </c>
      <c r="B42" s="4" t="s">
        <v>151</v>
      </c>
      <c r="C42" s="4" t="s">
        <v>152</v>
      </c>
      <c r="D42" s="19">
        <v>17</v>
      </c>
      <c r="E42" s="4">
        <v>48</v>
      </c>
      <c r="F42" s="4">
        <v>1.8</v>
      </c>
      <c r="G42" s="4">
        <v>1.8</v>
      </c>
      <c r="H42" s="4">
        <v>52</v>
      </c>
      <c r="I42" s="4">
        <v>3.2</v>
      </c>
      <c r="J42" s="4">
        <v>1.8</v>
      </c>
      <c r="K42" s="4">
        <v>68</v>
      </c>
    </row>
    <row r="43" spans="1:13" x14ac:dyDescent="0.2">
      <c r="A43" t="s">
        <v>153</v>
      </c>
      <c r="B43" s="4" t="s">
        <v>151</v>
      </c>
      <c r="C43" s="4" t="s">
        <v>154</v>
      </c>
      <c r="D43" s="19">
        <v>17</v>
      </c>
      <c r="E43" s="4">
        <v>48</v>
      </c>
      <c r="F43" s="4">
        <v>1.8</v>
      </c>
      <c r="G43" s="4">
        <v>1.3</v>
      </c>
      <c r="H43" s="4">
        <v>52</v>
      </c>
      <c r="I43" s="4">
        <v>5.5</v>
      </c>
      <c r="J43" s="4">
        <v>3.2</v>
      </c>
      <c r="K43" s="4">
        <v>68</v>
      </c>
    </row>
    <row r="44" spans="1:13" x14ac:dyDescent="0.2">
      <c r="A44" t="s">
        <v>155</v>
      </c>
      <c r="B44" s="4" t="s">
        <v>151</v>
      </c>
      <c r="C44" s="4" t="s">
        <v>156</v>
      </c>
      <c r="D44" s="19">
        <v>17</v>
      </c>
      <c r="E44" s="4">
        <v>60</v>
      </c>
      <c r="F44" s="4">
        <v>1.8</v>
      </c>
      <c r="G44" s="4">
        <v>1.7</v>
      </c>
      <c r="H44" s="4">
        <v>70</v>
      </c>
      <c r="I44" s="4">
        <v>2.8</v>
      </c>
      <c r="J44" s="4">
        <v>1.5</v>
      </c>
      <c r="K44" s="4">
        <v>72</v>
      </c>
    </row>
    <row r="45" spans="1:13" x14ac:dyDescent="0.2">
      <c r="A45" t="s">
        <v>163</v>
      </c>
      <c r="B45" s="4" t="s">
        <v>151</v>
      </c>
      <c r="C45" s="4" t="s">
        <v>164</v>
      </c>
      <c r="D45" s="19">
        <v>17</v>
      </c>
      <c r="E45" s="4">
        <v>80</v>
      </c>
      <c r="F45" s="4">
        <v>1.8</v>
      </c>
      <c r="G45" s="4">
        <v>2.8</v>
      </c>
      <c r="H45" s="4">
        <v>90</v>
      </c>
      <c r="I45" s="4">
        <v>3.8</v>
      </c>
      <c r="J45" s="4">
        <v>1.5</v>
      </c>
      <c r="K45" s="4">
        <v>83</v>
      </c>
    </row>
    <row r="46" spans="1:13" x14ac:dyDescent="0.2">
      <c r="A46" t="s">
        <v>157</v>
      </c>
      <c r="B46" s="4" t="s">
        <v>184</v>
      </c>
      <c r="C46" s="4" t="s">
        <v>158</v>
      </c>
      <c r="D46" s="19">
        <v>17</v>
      </c>
      <c r="E46" s="4">
        <v>48</v>
      </c>
      <c r="F46" s="4">
        <v>1.8</v>
      </c>
      <c r="G46" s="4">
        <v>1.5</v>
      </c>
      <c r="H46" s="4">
        <v>60</v>
      </c>
      <c r="I46" s="4">
        <v>4.5</v>
      </c>
      <c r="J46" s="4">
        <v>2.2000000000000002</v>
      </c>
      <c r="K46" s="4">
        <v>72</v>
      </c>
    </row>
    <row r="47" spans="1:13" x14ac:dyDescent="0.2">
      <c r="A47" t="s">
        <v>208</v>
      </c>
      <c r="B47" s="4" t="s">
        <v>184</v>
      </c>
      <c r="C47" s="4" t="s">
        <v>206</v>
      </c>
      <c r="D47" s="19">
        <v>17</v>
      </c>
      <c r="E47" s="4">
        <v>48</v>
      </c>
      <c r="F47" s="4">
        <v>1.8</v>
      </c>
      <c r="G47" s="4">
        <v>2.5</v>
      </c>
      <c r="H47" s="4">
        <v>60</v>
      </c>
      <c r="I47" s="4">
        <v>1.6</v>
      </c>
      <c r="J47" s="4">
        <v>0.9</v>
      </c>
      <c r="K47" s="4">
        <v>72</v>
      </c>
      <c r="L47" s="4">
        <v>75</v>
      </c>
    </row>
    <row r="48" spans="1:13" x14ac:dyDescent="0.2">
      <c r="A48" t="s">
        <v>186</v>
      </c>
      <c r="B48" s="4" t="s">
        <v>188</v>
      </c>
      <c r="C48" s="4" t="s">
        <v>187</v>
      </c>
      <c r="D48" s="19">
        <v>17</v>
      </c>
      <c r="E48" s="4">
        <v>48</v>
      </c>
      <c r="F48" s="4">
        <v>1.8</v>
      </c>
      <c r="G48" s="4">
        <v>2</v>
      </c>
      <c r="H48" s="4">
        <v>59</v>
      </c>
      <c r="I48" s="4">
        <v>3</v>
      </c>
      <c r="J48" s="4">
        <v>1.4</v>
      </c>
      <c r="K48" s="4">
        <v>82</v>
      </c>
    </row>
    <row r="49" spans="1:13" x14ac:dyDescent="0.2">
      <c r="A49" t="s">
        <v>145</v>
      </c>
      <c r="B49" s="4" t="s">
        <v>144</v>
      </c>
      <c r="C49" s="4" t="s">
        <v>146</v>
      </c>
      <c r="D49" s="19">
        <v>17</v>
      </c>
      <c r="E49" s="4">
        <v>48</v>
      </c>
      <c r="F49" s="4">
        <v>1.8</v>
      </c>
      <c r="G49" s="4">
        <v>1.96</v>
      </c>
      <c r="H49" s="4">
        <v>60</v>
      </c>
      <c r="I49" s="4">
        <v>4</v>
      </c>
      <c r="J49" s="4">
        <v>1.9</v>
      </c>
      <c r="K49" s="4">
        <v>73</v>
      </c>
    </row>
    <row r="50" spans="1:13" x14ac:dyDescent="0.2">
      <c r="A50" t="s">
        <v>147</v>
      </c>
      <c r="B50" s="4" t="s">
        <v>148</v>
      </c>
      <c r="C50" s="4" t="s">
        <v>149</v>
      </c>
      <c r="D50" s="19">
        <v>17</v>
      </c>
      <c r="E50" s="4">
        <v>48</v>
      </c>
      <c r="F50" s="4">
        <v>1.8</v>
      </c>
      <c r="G50" s="4">
        <v>2.5</v>
      </c>
      <c r="H50" s="4">
        <v>47</v>
      </c>
      <c r="I50" s="4">
        <v>1.8</v>
      </c>
      <c r="J50" s="4">
        <v>1.25</v>
      </c>
      <c r="K50" s="4">
        <v>82</v>
      </c>
    </row>
    <row r="51" spans="1:13" x14ac:dyDescent="0.2">
      <c r="A51" t="s">
        <v>174</v>
      </c>
      <c r="B51" s="4" t="s">
        <v>183</v>
      </c>
      <c r="C51" s="4" t="s">
        <v>175</v>
      </c>
      <c r="D51" s="19">
        <v>17</v>
      </c>
      <c r="E51" s="4">
        <v>48</v>
      </c>
      <c r="F51" s="4">
        <v>1.8</v>
      </c>
      <c r="G51" s="4">
        <v>2</v>
      </c>
      <c r="H51" s="4">
        <v>48</v>
      </c>
      <c r="I51" s="4">
        <v>1.9</v>
      </c>
      <c r="J51" s="4">
        <v>1.3</v>
      </c>
      <c r="K51" s="4">
        <v>82</v>
      </c>
      <c r="L51" s="4">
        <v>31</v>
      </c>
      <c r="M51" t="s">
        <v>178</v>
      </c>
    </row>
    <row r="52" spans="1:13" x14ac:dyDescent="0.2">
      <c r="A52" t="s">
        <v>176</v>
      </c>
      <c r="B52" s="4" t="s">
        <v>182</v>
      </c>
      <c r="C52" s="4" t="s">
        <v>177</v>
      </c>
      <c r="D52" s="19">
        <v>17</v>
      </c>
      <c r="E52" s="4">
        <v>48</v>
      </c>
      <c r="F52" s="4">
        <v>1.8</v>
      </c>
      <c r="G52" s="4">
        <v>1.5</v>
      </c>
      <c r="H52" s="4">
        <v>55</v>
      </c>
      <c r="I52" s="4">
        <v>2.8</v>
      </c>
      <c r="J52" s="4">
        <v>1.6</v>
      </c>
      <c r="K52" s="4">
        <v>68</v>
      </c>
    </row>
    <row r="53" spans="1:13" x14ac:dyDescent="0.2">
      <c r="A53" t="s">
        <v>180</v>
      </c>
      <c r="B53" s="4" t="s">
        <v>181</v>
      </c>
      <c r="C53" s="4" t="s">
        <v>179</v>
      </c>
      <c r="D53" s="19">
        <v>17</v>
      </c>
      <c r="E53" s="4">
        <v>48</v>
      </c>
      <c r="F53" s="4">
        <v>1.8</v>
      </c>
      <c r="G53" s="4">
        <v>2.5</v>
      </c>
      <c r="H53" s="4">
        <v>52</v>
      </c>
      <c r="I53" s="4">
        <v>1.8</v>
      </c>
      <c r="J53" s="4">
        <v>1.3</v>
      </c>
      <c r="K53" s="4">
        <v>68</v>
      </c>
      <c r="L53" s="4">
        <v>30</v>
      </c>
    </row>
    <row r="54" spans="1:13" x14ac:dyDescent="0.2">
      <c r="A54" t="s">
        <v>220</v>
      </c>
      <c r="B54" s="4" t="s">
        <v>181</v>
      </c>
      <c r="C54" s="4" t="s">
        <v>221</v>
      </c>
      <c r="D54" s="19">
        <v>17</v>
      </c>
      <c r="E54" s="4">
        <v>60</v>
      </c>
      <c r="F54" s="4">
        <v>1.8</v>
      </c>
      <c r="G54" s="4">
        <v>1.3</v>
      </c>
      <c r="H54" s="4">
        <v>65</v>
      </c>
      <c r="I54" s="4">
        <v>9.5</v>
      </c>
      <c r="J54" s="4">
        <v>4.2</v>
      </c>
      <c r="K54" s="4">
        <v>102</v>
      </c>
    </row>
  </sheetData>
  <autoFilter ref="A2:M53" xr:uid="{4E5820D9-FC51-B24E-8652-C82A7458A230}">
    <sortState xmlns:xlrd2="http://schemas.microsoft.com/office/spreadsheetml/2017/richdata2" ref="A3:M43">
      <sortCondition ref="A2:A43"/>
    </sortState>
  </autoFilter>
  <phoneticPr fontId="9" type="noConversion"/>
  <conditionalFormatting sqref="D22:D1048576 D1:D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F1048576 F1:F2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2:G1048576 G1:G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2:H1048576 H1:H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2:I1048576 I1:I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:J1048576 J1:J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E1048576 E1:E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2:L45 K46 K1:L2 K47:L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2:D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45 K46 K47:L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39" r:id="rId1" xr:uid="{C2775235-EB6F-7040-BBAD-E349E51BBBBB}"/>
    <hyperlink ref="M38" r:id="rId2" xr:uid="{8DC8DF4C-0DC9-F947-AC59-4E2ED6070688}"/>
    <hyperlink ref="M35" r:id="rId3" xr:uid="{E3120C9D-BB54-9B49-A5BA-4D9B56A62E76}"/>
    <hyperlink ref="M34" r:id="rId4" xr:uid="{BAB8A304-2D89-EC4D-89E1-9EF92AA59F59}"/>
    <hyperlink ref="M13" r:id="rId5" xr:uid="{011BC0B7-A0CF-E04C-83A9-9EAEC4CB4F2C}"/>
    <hyperlink ref="M15" r:id="rId6" xr:uid="{3B96C3D1-4CAC-484D-8A07-9D312A8A905E}"/>
    <hyperlink ref="M21" r:id="rId7" xr:uid="{2420A367-9004-D44E-854F-EE7FD0593775}"/>
    <hyperlink ref="M9" r:id="rId8" xr:uid="{BEFB2DF9-E9F8-C24E-A598-E5547541405B}"/>
    <hyperlink ref="M22" r:id="rId9" xr:uid="{E2810440-A68F-CC49-8A2C-D3889A6849A8}"/>
    <hyperlink ref="M16" r:id="rId10" xr:uid="{2E62C23D-106B-9640-8161-F8867A8FBF69}"/>
    <hyperlink ref="M27" r:id="rId11" xr:uid="{C4D04378-8C2D-A640-912B-5FF8F0101379}"/>
    <hyperlink ref="M12" r:id="rId12" xr:uid="{08F335D5-DEC6-A642-B4A0-7E4EA95B8F0B}"/>
    <hyperlink ref="M32" r:id="rId13" xr:uid="{6BD4800E-276E-0C43-998D-318466961CEE}"/>
    <hyperlink ref="M33" r:id="rId14" xr:uid="{039EF56E-DB7D-6747-8F85-696346E01452}"/>
    <hyperlink ref="M25" r:id="rId15" xr:uid="{7F9877EC-7C62-8847-8D0E-A7E7B1EDEE43}"/>
    <hyperlink ref="M37" r:id="rId16" xr:uid="{99CD061C-61E4-C64A-899F-19BDE0DBADA3}"/>
    <hyperlink ref="M24" r:id="rId17" xr:uid="{A3632361-F340-9D40-898D-F49B347AE315}"/>
    <hyperlink ref="M28" r:id="rId18" xr:uid="{DEA02D60-7AD5-9044-82AD-A8256F43B20E}"/>
    <hyperlink ref="M31" r:id="rId19" xr:uid="{024573C7-FF81-0B40-A9F9-7A18C6279FE8}"/>
    <hyperlink ref="M26" r:id="rId20" xr:uid="{743FB7ED-A770-FD4A-A1DD-1037006C039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sheetPr codeName="Sheet2"/>
  <dimension ref="A1:N195"/>
  <sheetViews>
    <sheetView workbookViewId="0">
      <selection activeCell="L19" sqref="L19"/>
    </sheetView>
  </sheetViews>
  <sheetFormatPr defaultColWidth="8.875" defaultRowHeight="14.25" x14ac:dyDescent="0.2"/>
  <cols>
    <col min="1" max="1" width="25.75" bestFit="1" customWidth="1"/>
    <col min="3" max="8" width="8.875" style="2"/>
    <col min="9" max="9" width="8.875" style="16"/>
    <col min="10" max="11" width="8.875" style="17"/>
  </cols>
  <sheetData>
    <row r="1" spans="1:14" x14ac:dyDescent="0.2">
      <c r="A1" t="s">
        <v>2</v>
      </c>
      <c r="B1" t="s">
        <v>127</v>
      </c>
      <c r="D1" s="11" t="s">
        <v>109</v>
      </c>
      <c r="E1" s="11" t="s">
        <v>110</v>
      </c>
      <c r="F1" s="12" t="s">
        <v>111</v>
      </c>
      <c r="G1" s="12" t="s">
        <v>112</v>
      </c>
      <c r="H1" s="12" t="s">
        <v>113</v>
      </c>
      <c r="I1" s="12" t="s">
        <v>114</v>
      </c>
      <c r="J1" s="12" t="s">
        <v>115</v>
      </c>
      <c r="K1" s="12" t="s">
        <v>116</v>
      </c>
      <c r="L1" s="13" t="s">
        <v>117</v>
      </c>
      <c r="M1" s="14" t="s">
        <v>118</v>
      </c>
      <c r="N1" s="14" t="s">
        <v>119</v>
      </c>
    </row>
    <row r="2" spans="1:14" x14ac:dyDescent="0.2">
      <c r="A2" s="15" t="s">
        <v>120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6">
        <f t="shared" ref="L2:L25" si="5">K2/$B$5</f>
        <v>0.6</v>
      </c>
      <c r="M2" s="17">
        <f>L2*$B$8/(100*SQRT(2))</f>
        <v>0.25031580054003782</v>
      </c>
      <c r="N2" s="17">
        <f>M2*SQRT(2)</f>
        <v>0.35400000000000004</v>
      </c>
    </row>
    <row r="3" spans="1:14" x14ac:dyDescent="0.2">
      <c r="A3" s="1" t="s">
        <v>121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6">
        <f t="shared" si="5"/>
        <v>0.6</v>
      </c>
      <c r="M3" s="17">
        <f t="shared" ref="M3:M25" si="8">L3*$B$8/(100*SQRT(2))</f>
        <v>0.25031580054003782</v>
      </c>
      <c r="N3" s="17">
        <f t="shared" ref="N3:N25" si="9">M3*SQRT(2)</f>
        <v>0.35400000000000004</v>
      </c>
    </row>
    <row r="4" spans="1:14" x14ac:dyDescent="0.2">
      <c r="A4" s="1" t="s">
        <v>122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6">
        <f t="shared" si="5"/>
        <v>0.6</v>
      </c>
      <c r="M4" s="17">
        <f t="shared" si="8"/>
        <v>0.25031580054003782</v>
      </c>
      <c r="N4" s="17">
        <f t="shared" si="9"/>
        <v>0.35400000000000004</v>
      </c>
    </row>
    <row r="5" spans="1:14" x14ac:dyDescent="0.2">
      <c r="A5" s="1" t="s">
        <v>123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6">
        <f t="shared" si="5"/>
        <v>0.6</v>
      </c>
      <c r="M5" s="17">
        <f t="shared" si="8"/>
        <v>0.25031580054003782</v>
      </c>
      <c r="N5" s="17">
        <f t="shared" si="9"/>
        <v>0.35400000000000004</v>
      </c>
    </row>
    <row r="6" spans="1:14" x14ac:dyDescent="0.2">
      <c r="A6" s="1" t="s">
        <v>124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6">
        <f t="shared" si="5"/>
        <v>0.6</v>
      </c>
      <c r="M6" s="17">
        <f t="shared" si="8"/>
        <v>0.25031580054003782</v>
      </c>
      <c r="N6" s="17">
        <f t="shared" si="9"/>
        <v>0.35400000000000004</v>
      </c>
    </row>
    <row r="7" spans="1:14" x14ac:dyDescent="0.2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6">
        <f t="shared" si="5"/>
        <v>0.6</v>
      </c>
      <c r="M7" s="17">
        <f t="shared" si="8"/>
        <v>0.25031580054003782</v>
      </c>
      <c r="N7" s="17">
        <f t="shared" si="9"/>
        <v>0.35400000000000004</v>
      </c>
    </row>
    <row r="8" spans="1:14" x14ac:dyDescent="0.2">
      <c r="A8" s="1" t="s">
        <v>125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6">
        <f t="shared" si="5"/>
        <v>0.6</v>
      </c>
      <c r="M8" s="17">
        <f t="shared" si="8"/>
        <v>0.25031580054003782</v>
      </c>
      <c r="N8" s="17">
        <f t="shared" si="9"/>
        <v>0.35400000000000004</v>
      </c>
    </row>
    <row r="9" spans="1:14" x14ac:dyDescent="0.2">
      <c r="A9" s="15" t="s">
        <v>126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6">
        <f t="shared" si="5"/>
        <v>0.6</v>
      </c>
      <c r="M9" s="17">
        <f t="shared" si="8"/>
        <v>0.25031580054003782</v>
      </c>
      <c r="N9" s="17">
        <f t="shared" si="9"/>
        <v>0.35400000000000004</v>
      </c>
    </row>
    <row r="10" spans="1:14" x14ac:dyDescent="0.2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6">
        <f t="shared" si="5"/>
        <v>0.6</v>
      </c>
      <c r="M10" s="17">
        <f t="shared" si="8"/>
        <v>0.25031580054003782</v>
      </c>
      <c r="N10" s="17">
        <f t="shared" si="9"/>
        <v>0.35400000000000004</v>
      </c>
    </row>
    <row r="11" spans="1:14" x14ac:dyDescent="0.2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6">
        <f t="shared" si="5"/>
        <v>0.50317407765371647</v>
      </c>
      <c r="M11" s="17">
        <f t="shared" si="8"/>
        <v>0.20992070343147531</v>
      </c>
      <c r="N11" s="17">
        <f t="shared" si="9"/>
        <v>0.29687270581569269</v>
      </c>
    </row>
    <row r="12" spans="1:14" x14ac:dyDescent="0.2">
      <c r="A12" t="s">
        <v>128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6">
        <f t="shared" si="5"/>
        <v>0.40718265429476624</v>
      </c>
      <c r="M12" s="17">
        <f t="shared" si="8"/>
        <v>0.16987375345968647</v>
      </c>
      <c r="N12" s="17">
        <f t="shared" si="9"/>
        <v>0.24023776603391211</v>
      </c>
    </row>
    <row r="13" spans="1:14" x14ac:dyDescent="0.2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6">
        <f t="shared" si="5"/>
        <v>0.32542753018676657</v>
      </c>
      <c r="M13" s="17">
        <f t="shared" si="8"/>
        <v>0.13576608789411299</v>
      </c>
      <c r="N13" s="17">
        <f t="shared" si="9"/>
        <v>0.19200224281019226</v>
      </c>
    </row>
    <row r="14" spans="1:14" x14ac:dyDescent="0.2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6">
        <f t="shared" si="5"/>
        <v>0.25496030475211212</v>
      </c>
      <c r="M14" s="17">
        <f t="shared" si="8"/>
        <v>0.10636765464992826</v>
      </c>
      <c r="N14" s="17">
        <f t="shared" si="9"/>
        <v>0.15042657980374616</v>
      </c>
    </row>
    <row r="15" spans="1:14" x14ac:dyDescent="0.2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6">
        <f t="shared" si="5"/>
        <v>0.19359417008590513</v>
      </c>
      <c r="M15" s="17">
        <f t="shared" si="8"/>
        <v>8.0766132774895971E-2</v>
      </c>
      <c r="N15" s="17">
        <f t="shared" si="9"/>
        <v>0.11422056035068402</v>
      </c>
    </row>
    <row r="16" spans="1:14" x14ac:dyDescent="0.2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6">
        <f t="shared" si="5"/>
        <v>0.13967292155280306</v>
      </c>
      <c r="M16" s="17">
        <f t="shared" si="8"/>
        <v>5.8270565287092999E-2</v>
      </c>
      <c r="N16" s="17">
        <f t="shared" si="9"/>
        <v>8.2407023716153813E-2</v>
      </c>
    </row>
    <row r="17" spans="3:14" x14ac:dyDescent="0.2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6">
        <f t="shared" si="5"/>
        <v>9.1919230669093979E-2</v>
      </c>
      <c r="M17" s="17">
        <f t="shared" si="8"/>
        <v>3.8348059683264421E-2</v>
      </c>
      <c r="N17" s="17">
        <f t="shared" si="9"/>
        <v>5.4232346094765446E-2</v>
      </c>
    </row>
    <row r="18" spans="3:14" x14ac:dyDescent="0.2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6">
        <f t="shared" si="5"/>
        <v>4.933216552258457E-2</v>
      </c>
      <c r="M18" s="17">
        <f t="shared" si="8"/>
        <v>2.0581034175265682E-2</v>
      </c>
      <c r="N18" s="17">
        <f t="shared" si="9"/>
        <v>2.9105977658324896E-2</v>
      </c>
    </row>
    <row r="19" spans="3:14" x14ac:dyDescent="0.2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6">
        <f t="shared" si="5"/>
        <v>1.111626692266696E-2</v>
      </c>
      <c r="M19" s="17">
        <f t="shared" si="8"/>
        <v>4.6376287562735381E-3</v>
      </c>
      <c r="N19" s="17">
        <f t="shared" si="9"/>
        <v>6.5585974843735068E-3</v>
      </c>
    </row>
    <row r="20" spans="3:14" x14ac:dyDescent="0.2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6">
        <f t="shared" si="5"/>
        <v>0</v>
      </c>
      <c r="M20" s="17">
        <f t="shared" si="8"/>
        <v>0</v>
      </c>
      <c r="N20" s="17">
        <f t="shared" si="9"/>
        <v>0</v>
      </c>
    </row>
    <row r="21" spans="3:14" x14ac:dyDescent="0.2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6">
        <f t="shared" si="5"/>
        <v>0</v>
      </c>
      <c r="M21" s="17">
        <f t="shared" si="8"/>
        <v>0</v>
      </c>
      <c r="N21" s="17">
        <f t="shared" si="9"/>
        <v>0</v>
      </c>
    </row>
    <row r="22" spans="3:14" x14ac:dyDescent="0.2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6">
        <f t="shared" si="5"/>
        <v>0</v>
      </c>
      <c r="M22" s="17">
        <f t="shared" si="8"/>
        <v>0</v>
      </c>
      <c r="N22" s="17">
        <f t="shared" si="9"/>
        <v>0</v>
      </c>
    </row>
    <row r="23" spans="3:14" x14ac:dyDescent="0.2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6">
        <f t="shared" si="5"/>
        <v>0</v>
      </c>
      <c r="M23" s="17">
        <f t="shared" si="8"/>
        <v>0</v>
      </c>
      <c r="N23" s="17">
        <f t="shared" si="9"/>
        <v>0</v>
      </c>
    </row>
    <row r="24" spans="3:14" x14ac:dyDescent="0.2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6">
        <f t="shared" si="5"/>
        <v>0</v>
      </c>
      <c r="M24" s="17">
        <f t="shared" si="8"/>
        <v>0</v>
      </c>
      <c r="N24" s="17">
        <f t="shared" si="9"/>
        <v>0</v>
      </c>
    </row>
    <row r="25" spans="3:14" x14ac:dyDescent="0.2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6">
        <f t="shared" si="5"/>
        <v>0</v>
      </c>
      <c r="M25" s="17">
        <f t="shared" si="8"/>
        <v>0</v>
      </c>
      <c r="N25" s="17">
        <f t="shared" si="9"/>
        <v>0</v>
      </c>
    </row>
    <row r="27" spans="3:14" x14ac:dyDescent="0.2">
      <c r="C27"/>
      <c r="D27"/>
      <c r="E27"/>
      <c r="F27"/>
      <c r="G27"/>
      <c r="H27"/>
      <c r="I27"/>
      <c r="J27"/>
      <c r="K27"/>
    </row>
    <row r="28" spans="3:14" x14ac:dyDescent="0.2">
      <c r="C28"/>
      <c r="D28"/>
      <c r="E28"/>
      <c r="F28"/>
      <c r="G28"/>
      <c r="H28"/>
      <c r="I28"/>
      <c r="J28"/>
      <c r="K28"/>
    </row>
    <row r="29" spans="3:14" x14ac:dyDescent="0.2">
      <c r="C29"/>
      <c r="D29"/>
      <c r="E29"/>
      <c r="F29"/>
      <c r="G29"/>
      <c r="H29"/>
      <c r="I29"/>
      <c r="J29"/>
      <c r="K29"/>
    </row>
    <row r="30" spans="3:14" x14ac:dyDescent="0.2">
      <c r="C30"/>
      <c r="D30"/>
      <c r="E30"/>
      <c r="F30"/>
      <c r="G30"/>
      <c r="H30"/>
      <c r="I30"/>
      <c r="J30"/>
      <c r="K30"/>
    </row>
    <row r="31" spans="3:14" x14ac:dyDescent="0.2">
      <c r="C31"/>
      <c r="D31"/>
      <c r="E31"/>
      <c r="F31"/>
      <c r="G31"/>
      <c r="H31"/>
      <c r="I31"/>
      <c r="J31"/>
      <c r="K31"/>
    </row>
    <row r="32" spans="3:14" x14ac:dyDescent="0.2">
      <c r="C32"/>
      <c r="D32"/>
      <c r="E32"/>
      <c r="F32"/>
      <c r="G32"/>
      <c r="H32"/>
      <c r="I32"/>
      <c r="J32"/>
      <c r="K32"/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</sheetData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C9C1-8048-4404-834C-899F8DAEB4FA}">
  <dimension ref="A1"/>
  <sheetViews>
    <sheetView zoomScale="70" zoomScaleNormal="70" workbookViewId="0">
      <selection activeCell="M68" sqref="M68"/>
    </sheetView>
  </sheetViews>
  <sheetFormatPr defaultRowHeight="14.25" x14ac:dyDescent="0.2"/>
  <sheetData/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8DB05-67E8-44E8-8260-46F56FC8F8BF}">
  <dimension ref="A2:D11"/>
  <sheetViews>
    <sheetView workbookViewId="0">
      <selection activeCell="J18" sqref="J18"/>
    </sheetView>
  </sheetViews>
  <sheetFormatPr defaultRowHeight="14.25" x14ac:dyDescent="0.2"/>
  <cols>
    <col min="1" max="1" width="14.25" customWidth="1"/>
    <col min="2" max="2" width="11.375" customWidth="1"/>
  </cols>
  <sheetData>
    <row r="2" spans="1:4" x14ac:dyDescent="0.2">
      <c r="A2" t="s">
        <v>190</v>
      </c>
      <c r="B2" s="29">
        <v>1.75</v>
      </c>
      <c r="C2" t="s">
        <v>192</v>
      </c>
    </row>
    <row r="3" spans="1:4" x14ac:dyDescent="0.2">
      <c r="A3" t="s">
        <v>191</v>
      </c>
      <c r="B3" s="29">
        <v>0.4</v>
      </c>
      <c r="C3" t="s">
        <v>192</v>
      </c>
    </row>
    <row r="4" spans="1:4" x14ac:dyDescent="0.2">
      <c r="A4" t="s">
        <v>202</v>
      </c>
      <c r="B4" s="29">
        <v>0.2</v>
      </c>
      <c r="C4" t="s">
        <v>192</v>
      </c>
    </row>
    <row r="5" spans="1:4" x14ac:dyDescent="0.2">
      <c r="A5" t="s">
        <v>203</v>
      </c>
      <c r="B5" s="29">
        <v>500</v>
      </c>
      <c r="C5" t="s">
        <v>193</v>
      </c>
    </row>
    <row r="6" spans="1:4" x14ac:dyDescent="0.2">
      <c r="A6" t="s">
        <v>204</v>
      </c>
      <c r="B6" s="29">
        <v>22.5</v>
      </c>
      <c r="C6" t="s">
        <v>192</v>
      </c>
      <c r="D6" t="s">
        <v>200</v>
      </c>
    </row>
    <row r="7" spans="1:4" x14ac:dyDescent="0.2">
      <c r="A7" t="s">
        <v>198</v>
      </c>
      <c r="B7" s="31">
        <f>10/90</f>
        <v>0.1111111111111111</v>
      </c>
      <c r="D7" t="s">
        <v>201</v>
      </c>
    </row>
    <row r="9" spans="1:4" x14ac:dyDescent="0.2">
      <c r="A9" t="s">
        <v>197</v>
      </c>
      <c r="B9" s="30">
        <f>B10/B6/B7</f>
        <v>5.4446013116468723</v>
      </c>
      <c r="C9" t="s">
        <v>199</v>
      </c>
      <c r="D9" t="s">
        <v>205</v>
      </c>
    </row>
    <row r="10" spans="1:4" x14ac:dyDescent="0.2">
      <c r="A10" t="s">
        <v>195</v>
      </c>
      <c r="B10" s="30">
        <f>B11/(SQRT(B2/2)*PI())</f>
        <v>13.61150327911718</v>
      </c>
      <c r="C10" t="s">
        <v>193</v>
      </c>
    </row>
    <row r="11" spans="1:4" x14ac:dyDescent="0.2">
      <c r="A11" t="s">
        <v>196</v>
      </c>
      <c r="B11" s="30">
        <f>B3*B4*B5</f>
        <v>40.000000000000007</v>
      </c>
      <c r="C11" t="s">
        <v>194</v>
      </c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EACC6-469B-4804-BEE2-6A226BEB8325}">
  <dimension ref="A1:AB523"/>
  <sheetViews>
    <sheetView workbookViewId="0">
      <selection activeCell="N6" sqref="N6"/>
    </sheetView>
  </sheetViews>
  <sheetFormatPr defaultRowHeight="14.25" x14ac:dyDescent="0.2"/>
  <cols>
    <col min="2" max="2" width="19.25" customWidth="1"/>
    <col min="15" max="15" width="8.25" customWidth="1"/>
    <col min="16" max="18" width="10.25" customWidth="1"/>
  </cols>
  <sheetData>
    <row r="1" spans="1:28" ht="94.5" x14ac:dyDescent="0.2">
      <c r="P1" s="32" t="str">
        <f>_xlfn.CONCAT(A3, " - ", B3, C3)</f>
        <v>加速度1 - 20000mm/s2</v>
      </c>
      <c r="Q1" s="32" t="str">
        <f>_xlfn.CONCAT(A4, " - ", B4, C4)</f>
        <v>加速度2 - 10000mm/s2</v>
      </c>
      <c r="R1" s="32" t="str">
        <f>_xlfn.CONCAT(A5, " - ", B5, C5)</f>
        <v>加速度3 - 7000mm/s2</v>
      </c>
    </row>
    <row r="2" spans="1:28" ht="28.5" x14ac:dyDescent="0.2">
      <c r="O2" s="33" t="s">
        <v>215</v>
      </c>
      <c r="P2" s="33" t="s">
        <v>216</v>
      </c>
      <c r="Q2" s="33" t="s">
        <v>217</v>
      </c>
      <c r="R2" s="33" t="s">
        <v>218</v>
      </c>
    </row>
    <row r="3" spans="1:28" x14ac:dyDescent="0.2">
      <c r="A3" t="s">
        <v>212</v>
      </c>
      <c r="B3" s="29">
        <v>20000</v>
      </c>
      <c r="C3" t="s">
        <v>211</v>
      </c>
      <c r="O3" s="33">
        <v>0</v>
      </c>
      <c r="P3">
        <v>0</v>
      </c>
      <c r="Q3">
        <v>0</v>
      </c>
      <c r="R3">
        <v>0</v>
      </c>
    </row>
    <row r="4" spans="1:28" x14ac:dyDescent="0.2">
      <c r="A4" t="s">
        <v>213</v>
      </c>
      <c r="B4" s="29">
        <v>10000</v>
      </c>
      <c r="C4" t="s">
        <v>211</v>
      </c>
      <c r="O4">
        <v>1</v>
      </c>
      <c r="P4">
        <f>IF($O4&lt;=$B$6/2, SQRT($B$3*($O4-$O3))+P3, IF((P3-SQRT($B$3*($O4-$O3)))&lt;0, 0, P3-SQRT($B$3*($O4-$O3))))</f>
        <v>141.42135623730951</v>
      </c>
      <c r="Q4">
        <f>IF($O4&lt;=$B$6/2, SQRT($B$4*($O4-$O3))+Q3, IF((Q3-SQRT($B$4*($O4-$O3)))&lt;0, 0, Q3-SQRT($B$4*($O4-$O3))))</f>
        <v>100</v>
      </c>
      <c r="R4">
        <f>IF($O4&lt;=$B$6/2, SQRT($B$5*($O4-$O3))+R3, IF((R3-SQRT($B$5*($O4-$O3)))&lt;0, 0, R3-SQRT($B$5*($O4-$O3))))</f>
        <v>83.66600265340756</v>
      </c>
      <c r="Z4" t="s">
        <v>219</v>
      </c>
    </row>
    <row r="5" spans="1:28" x14ac:dyDescent="0.2">
      <c r="A5" t="s">
        <v>214</v>
      </c>
      <c r="B5" s="29">
        <v>7000</v>
      </c>
      <c r="C5" t="s">
        <v>211</v>
      </c>
      <c r="O5">
        <v>2</v>
      </c>
      <c r="P5">
        <f t="shared" ref="P5:P68" si="0">IF($O5&lt;=$B$6/2, SQRT($B$3*($O5-$O4))+P4, IF((P4-SQRT($B$3*($O5-$O4)))&lt;0, 0, P4-SQRT($B$3*($O5-$O4))))</f>
        <v>282.84271247461902</v>
      </c>
      <c r="Q5">
        <f t="shared" ref="Q5:Q68" si="1">IF($O5&lt;=$B$6/2, SQRT($B$4*($O5-$O4))+Q4, IF((Q4-SQRT($B$4*($O5-$O4)))&lt;0, 0, Q4-SQRT($B$4*($O5-$O4))))</f>
        <v>200</v>
      </c>
      <c r="R5">
        <f t="shared" ref="R5:R68" si="2">IF($O5&lt;=$B$6/2, SQRT($B$5*($O5-$O4))+R4, IF((R4-SQRT($B$5*($O5-$O4)))&lt;0, 0, R4-SQRT($B$5*($O5-$O4))))</f>
        <v>167.33200530681512</v>
      </c>
    </row>
    <row r="6" spans="1:28" x14ac:dyDescent="0.2">
      <c r="A6" t="s">
        <v>209</v>
      </c>
      <c r="B6" s="29">
        <v>250</v>
      </c>
      <c r="C6" t="s">
        <v>192</v>
      </c>
      <c r="O6">
        <v>3</v>
      </c>
      <c r="P6">
        <f t="shared" si="0"/>
        <v>424.26406871192853</v>
      </c>
      <c r="Q6">
        <f t="shared" si="1"/>
        <v>300</v>
      </c>
      <c r="R6">
        <f t="shared" si="2"/>
        <v>250.99800796022268</v>
      </c>
    </row>
    <row r="7" spans="1:28" x14ac:dyDescent="0.2">
      <c r="A7" t="s">
        <v>210</v>
      </c>
      <c r="B7" s="29">
        <v>300</v>
      </c>
      <c r="C7" t="s">
        <v>193</v>
      </c>
      <c r="O7">
        <v>4</v>
      </c>
      <c r="P7">
        <f t="shared" si="0"/>
        <v>565.68542494923804</v>
      </c>
      <c r="Q7">
        <f t="shared" si="1"/>
        <v>400</v>
      </c>
      <c r="R7">
        <f t="shared" si="2"/>
        <v>334.66401061363024</v>
      </c>
    </row>
    <row r="8" spans="1:28" x14ac:dyDescent="0.2">
      <c r="O8">
        <v>5</v>
      </c>
      <c r="P8">
        <f t="shared" si="0"/>
        <v>707.10678118654755</v>
      </c>
      <c r="Q8">
        <f t="shared" si="1"/>
        <v>500</v>
      </c>
      <c r="R8">
        <f t="shared" si="2"/>
        <v>418.33001326703777</v>
      </c>
      <c r="Z8">
        <f>IF($O8&lt;=$B$6/2, IF((SQRT($B$3*($O8-$O7))+Z7)&gt;$B$7, $B$7, SQRT($B$3*($O8-$O7))+Z7), IF((Z7-SQRT($B$3*($O8-$O7)))&lt;0, 0, Z7-SQRT($B$3*($O8-$O7))))</f>
        <v>141.42135623730951</v>
      </c>
      <c r="AA8">
        <f>IF($O8&lt;=$B$6/2, IF((SQRT($B$4*($O8-$O7))+AA7)&gt;$B$7, $B$7, SQRT($B$4*($O8-$O7))+AA7), IF((AA7-SQRT($B$4*($O8-$O7)))&lt;0, 0, AA7-SQRT($B$4*($O8-$O7))))</f>
        <v>100</v>
      </c>
      <c r="AB8">
        <f>IF($O8&lt;=$B$6/2, IF((SQRT($B$5*($O8-$O7))+AB7)&gt;$B$7, $B$7, SQRT($B$5*($O8-$O7))+AB7), IF((AB7-SQRT($B$5*($O8-$O7)))&lt;0, 0, AB7-SQRT($B$5*($O8-$O7))))</f>
        <v>83.66600265340756</v>
      </c>
    </row>
    <row r="9" spans="1:28" x14ac:dyDescent="0.2">
      <c r="O9">
        <v>6</v>
      </c>
      <c r="P9">
        <f t="shared" si="0"/>
        <v>848.52813742385706</v>
      </c>
      <c r="Q9">
        <f t="shared" si="1"/>
        <v>600</v>
      </c>
      <c r="R9">
        <f t="shared" si="2"/>
        <v>501.9960159204453</v>
      </c>
    </row>
    <row r="10" spans="1:28" x14ac:dyDescent="0.2">
      <c r="O10">
        <v>7</v>
      </c>
      <c r="P10">
        <f t="shared" si="0"/>
        <v>989.94949366116657</v>
      </c>
      <c r="Q10">
        <f t="shared" si="1"/>
        <v>700</v>
      </c>
      <c r="R10">
        <f t="shared" si="2"/>
        <v>585.66201857385283</v>
      </c>
    </row>
    <row r="11" spans="1:28" x14ac:dyDescent="0.2">
      <c r="O11">
        <v>8</v>
      </c>
      <c r="P11">
        <f t="shared" si="0"/>
        <v>1131.3708498984761</v>
      </c>
      <c r="Q11">
        <f t="shared" si="1"/>
        <v>800</v>
      </c>
      <c r="R11">
        <f t="shared" si="2"/>
        <v>669.32802122726036</v>
      </c>
    </row>
    <row r="12" spans="1:28" x14ac:dyDescent="0.2">
      <c r="O12">
        <v>9</v>
      </c>
      <c r="P12">
        <f t="shared" si="0"/>
        <v>1272.7922061357856</v>
      </c>
      <c r="Q12">
        <f t="shared" si="1"/>
        <v>900</v>
      </c>
      <c r="R12">
        <f t="shared" si="2"/>
        <v>752.9940238806679</v>
      </c>
    </row>
    <row r="13" spans="1:28" x14ac:dyDescent="0.2">
      <c r="O13">
        <v>10</v>
      </c>
      <c r="P13">
        <f t="shared" si="0"/>
        <v>1414.2135623730951</v>
      </c>
      <c r="Q13">
        <f t="shared" si="1"/>
        <v>1000</v>
      </c>
      <c r="R13">
        <f t="shared" si="2"/>
        <v>836.66002653407543</v>
      </c>
    </row>
    <row r="14" spans="1:28" x14ac:dyDescent="0.2">
      <c r="O14">
        <v>11</v>
      </c>
      <c r="P14">
        <f t="shared" si="0"/>
        <v>1555.6349186104046</v>
      </c>
      <c r="Q14">
        <f t="shared" si="1"/>
        <v>1100</v>
      </c>
      <c r="R14">
        <f t="shared" si="2"/>
        <v>920.32602918748296</v>
      </c>
    </row>
    <row r="15" spans="1:28" x14ac:dyDescent="0.2">
      <c r="O15">
        <v>12</v>
      </c>
      <c r="P15">
        <f t="shared" si="0"/>
        <v>1697.0562748477141</v>
      </c>
      <c r="Q15">
        <f t="shared" si="1"/>
        <v>1200</v>
      </c>
      <c r="R15">
        <f t="shared" si="2"/>
        <v>1003.9920318408905</v>
      </c>
    </row>
    <row r="16" spans="1:28" x14ac:dyDescent="0.2">
      <c r="O16">
        <v>13</v>
      </c>
      <c r="P16">
        <f t="shared" si="0"/>
        <v>1838.4776310850236</v>
      </c>
      <c r="Q16">
        <f t="shared" si="1"/>
        <v>1300</v>
      </c>
      <c r="R16">
        <f t="shared" si="2"/>
        <v>1087.6580344942981</v>
      </c>
    </row>
    <row r="17" spans="15:18" x14ac:dyDescent="0.2">
      <c r="O17">
        <v>14</v>
      </c>
      <c r="P17">
        <f t="shared" si="0"/>
        <v>1979.8989873223331</v>
      </c>
      <c r="Q17">
        <f t="shared" si="1"/>
        <v>1400</v>
      </c>
      <c r="R17">
        <f t="shared" si="2"/>
        <v>1171.3240371477057</v>
      </c>
    </row>
    <row r="18" spans="15:18" x14ac:dyDescent="0.2">
      <c r="O18">
        <v>15</v>
      </c>
      <c r="P18">
        <f t="shared" si="0"/>
        <v>2121.3203435596424</v>
      </c>
      <c r="Q18">
        <f t="shared" si="1"/>
        <v>1500</v>
      </c>
      <c r="R18">
        <f t="shared" si="2"/>
        <v>1254.9900398011132</v>
      </c>
    </row>
    <row r="19" spans="15:18" x14ac:dyDescent="0.2">
      <c r="O19">
        <v>16</v>
      </c>
      <c r="P19">
        <f t="shared" si="0"/>
        <v>2262.7416997969522</v>
      </c>
      <c r="Q19">
        <f t="shared" si="1"/>
        <v>1600</v>
      </c>
      <c r="R19">
        <f t="shared" si="2"/>
        <v>1338.6560424545207</v>
      </c>
    </row>
    <row r="20" spans="15:18" x14ac:dyDescent="0.2">
      <c r="O20">
        <v>17</v>
      </c>
      <c r="P20">
        <f t="shared" si="0"/>
        <v>2404.1630560342619</v>
      </c>
      <c r="Q20">
        <f t="shared" si="1"/>
        <v>1700</v>
      </c>
      <c r="R20">
        <f t="shared" si="2"/>
        <v>1422.3220451079283</v>
      </c>
    </row>
    <row r="21" spans="15:18" x14ac:dyDescent="0.2">
      <c r="O21">
        <v>18</v>
      </c>
      <c r="P21">
        <f t="shared" si="0"/>
        <v>2545.5844122715716</v>
      </c>
      <c r="Q21">
        <f t="shared" si="1"/>
        <v>1800</v>
      </c>
      <c r="R21">
        <f t="shared" si="2"/>
        <v>1505.9880477613358</v>
      </c>
    </row>
    <row r="22" spans="15:18" x14ac:dyDescent="0.2">
      <c r="O22">
        <v>19</v>
      </c>
      <c r="P22">
        <f t="shared" si="0"/>
        <v>2687.0057685088814</v>
      </c>
      <c r="Q22">
        <f t="shared" si="1"/>
        <v>1900</v>
      </c>
      <c r="R22">
        <f t="shared" si="2"/>
        <v>1589.6540504147433</v>
      </c>
    </row>
    <row r="23" spans="15:18" x14ac:dyDescent="0.2">
      <c r="O23">
        <v>20</v>
      </c>
      <c r="P23">
        <f t="shared" si="0"/>
        <v>2828.4271247461911</v>
      </c>
      <c r="Q23">
        <f t="shared" si="1"/>
        <v>2000</v>
      </c>
      <c r="R23">
        <f t="shared" si="2"/>
        <v>1673.3200530681509</v>
      </c>
    </row>
    <row r="24" spans="15:18" x14ac:dyDescent="0.2">
      <c r="O24">
        <v>21</v>
      </c>
      <c r="P24">
        <f t="shared" si="0"/>
        <v>2969.8484809835008</v>
      </c>
      <c r="Q24">
        <f t="shared" si="1"/>
        <v>2100</v>
      </c>
      <c r="R24">
        <f t="shared" si="2"/>
        <v>1756.9860557215584</v>
      </c>
    </row>
    <row r="25" spans="15:18" x14ac:dyDescent="0.2">
      <c r="O25">
        <v>22</v>
      </c>
      <c r="P25">
        <f t="shared" si="0"/>
        <v>3111.2698372208106</v>
      </c>
      <c r="Q25">
        <f t="shared" si="1"/>
        <v>2200</v>
      </c>
      <c r="R25">
        <f t="shared" si="2"/>
        <v>1840.6520583749659</v>
      </c>
    </row>
    <row r="26" spans="15:18" x14ac:dyDescent="0.2">
      <c r="O26">
        <v>23</v>
      </c>
      <c r="P26">
        <f t="shared" si="0"/>
        <v>3252.6911934581203</v>
      </c>
      <c r="Q26">
        <f t="shared" si="1"/>
        <v>2300</v>
      </c>
      <c r="R26">
        <f t="shared" si="2"/>
        <v>1924.3180610283734</v>
      </c>
    </row>
    <row r="27" spans="15:18" x14ac:dyDescent="0.2">
      <c r="O27">
        <v>24</v>
      </c>
      <c r="P27">
        <f t="shared" si="0"/>
        <v>3394.1125496954301</v>
      </c>
      <c r="Q27">
        <f t="shared" si="1"/>
        <v>2400</v>
      </c>
      <c r="R27">
        <f t="shared" si="2"/>
        <v>2007.984063681781</v>
      </c>
    </row>
    <row r="28" spans="15:18" x14ac:dyDescent="0.2">
      <c r="O28">
        <v>25</v>
      </c>
      <c r="P28">
        <f t="shared" si="0"/>
        <v>3535.5339059327398</v>
      </c>
      <c r="Q28">
        <f t="shared" si="1"/>
        <v>2500</v>
      </c>
      <c r="R28">
        <f t="shared" si="2"/>
        <v>2091.6500663351885</v>
      </c>
    </row>
    <row r="29" spans="15:18" x14ac:dyDescent="0.2">
      <c r="O29">
        <v>26</v>
      </c>
      <c r="P29">
        <f t="shared" si="0"/>
        <v>3676.9552621700495</v>
      </c>
      <c r="Q29">
        <f t="shared" si="1"/>
        <v>2600</v>
      </c>
      <c r="R29">
        <f t="shared" si="2"/>
        <v>2175.3160689885963</v>
      </c>
    </row>
    <row r="30" spans="15:18" x14ac:dyDescent="0.2">
      <c r="O30">
        <v>27</v>
      </c>
      <c r="P30">
        <f t="shared" si="0"/>
        <v>3818.3766184073593</v>
      </c>
      <c r="Q30">
        <f t="shared" si="1"/>
        <v>2700</v>
      </c>
      <c r="R30">
        <f t="shared" si="2"/>
        <v>2258.982071642004</v>
      </c>
    </row>
    <row r="31" spans="15:18" x14ac:dyDescent="0.2">
      <c r="O31">
        <v>28</v>
      </c>
      <c r="P31">
        <f t="shared" si="0"/>
        <v>3959.797974644669</v>
      </c>
      <c r="Q31">
        <f t="shared" si="1"/>
        <v>2800</v>
      </c>
      <c r="R31">
        <f t="shared" si="2"/>
        <v>2342.6480742954118</v>
      </c>
    </row>
    <row r="32" spans="15:18" x14ac:dyDescent="0.2">
      <c r="O32">
        <v>29</v>
      </c>
      <c r="P32">
        <f t="shared" si="0"/>
        <v>4101.2193308819787</v>
      </c>
      <c r="Q32">
        <f t="shared" si="1"/>
        <v>2900</v>
      </c>
      <c r="R32">
        <f t="shared" si="2"/>
        <v>2426.3140769488195</v>
      </c>
    </row>
    <row r="33" spans="15:18" x14ac:dyDescent="0.2">
      <c r="O33">
        <v>30</v>
      </c>
      <c r="P33">
        <f t="shared" si="0"/>
        <v>4242.6406871192885</v>
      </c>
      <c r="Q33">
        <f t="shared" si="1"/>
        <v>3000</v>
      </c>
      <c r="R33">
        <f t="shared" si="2"/>
        <v>2509.9800796022273</v>
      </c>
    </row>
    <row r="34" spans="15:18" x14ac:dyDescent="0.2">
      <c r="O34">
        <v>31</v>
      </c>
      <c r="P34">
        <f t="shared" si="0"/>
        <v>4384.0620433565982</v>
      </c>
      <c r="Q34">
        <f t="shared" si="1"/>
        <v>3100</v>
      </c>
      <c r="R34">
        <f t="shared" si="2"/>
        <v>2593.6460822556351</v>
      </c>
    </row>
    <row r="35" spans="15:18" x14ac:dyDescent="0.2">
      <c r="O35">
        <v>32</v>
      </c>
      <c r="P35">
        <f t="shared" si="0"/>
        <v>4525.483399593908</v>
      </c>
      <c r="Q35">
        <f t="shared" si="1"/>
        <v>3200</v>
      </c>
      <c r="R35">
        <f t="shared" si="2"/>
        <v>2677.3120849090428</v>
      </c>
    </row>
    <row r="36" spans="15:18" x14ac:dyDescent="0.2">
      <c r="O36">
        <v>33</v>
      </c>
      <c r="P36">
        <f t="shared" si="0"/>
        <v>4666.9047558312177</v>
      </c>
      <c r="Q36">
        <f t="shared" si="1"/>
        <v>3300</v>
      </c>
      <c r="R36">
        <f t="shared" si="2"/>
        <v>2760.9780875624506</v>
      </c>
    </row>
    <row r="37" spans="15:18" x14ac:dyDescent="0.2">
      <c r="O37">
        <v>34</v>
      </c>
      <c r="P37">
        <f t="shared" si="0"/>
        <v>4808.3261120685274</v>
      </c>
      <c r="Q37">
        <f t="shared" si="1"/>
        <v>3400</v>
      </c>
      <c r="R37">
        <f t="shared" si="2"/>
        <v>2844.6440902158583</v>
      </c>
    </row>
    <row r="38" spans="15:18" x14ac:dyDescent="0.2">
      <c r="O38">
        <v>35</v>
      </c>
      <c r="P38">
        <f t="shared" si="0"/>
        <v>4949.7474683058372</v>
      </c>
      <c r="Q38">
        <f t="shared" si="1"/>
        <v>3500</v>
      </c>
      <c r="R38">
        <f t="shared" si="2"/>
        <v>2928.3100928692661</v>
      </c>
    </row>
    <row r="39" spans="15:18" x14ac:dyDescent="0.2">
      <c r="O39">
        <v>36</v>
      </c>
      <c r="P39">
        <f t="shared" si="0"/>
        <v>5091.1688245431469</v>
      </c>
      <c r="Q39">
        <f t="shared" si="1"/>
        <v>3600</v>
      </c>
      <c r="R39">
        <f t="shared" si="2"/>
        <v>3011.9760955226739</v>
      </c>
    </row>
    <row r="40" spans="15:18" x14ac:dyDescent="0.2">
      <c r="O40">
        <v>37</v>
      </c>
      <c r="P40">
        <f t="shared" si="0"/>
        <v>5232.5901807804566</v>
      </c>
      <c r="Q40">
        <f t="shared" si="1"/>
        <v>3700</v>
      </c>
      <c r="R40">
        <f t="shared" si="2"/>
        <v>3095.6420981760816</v>
      </c>
    </row>
    <row r="41" spans="15:18" x14ac:dyDescent="0.2">
      <c r="O41">
        <v>38</v>
      </c>
      <c r="P41">
        <f t="shared" si="0"/>
        <v>5374.0115370177664</v>
      </c>
      <c r="Q41">
        <f t="shared" si="1"/>
        <v>3800</v>
      </c>
      <c r="R41">
        <f t="shared" si="2"/>
        <v>3179.3081008294894</v>
      </c>
    </row>
    <row r="42" spans="15:18" x14ac:dyDescent="0.2">
      <c r="O42">
        <v>39</v>
      </c>
      <c r="P42">
        <f t="shared" si="0"/>
        <v>5515.4328932550761</v>
      </c>
      <c r="Q42">
        <f t="shared" si="1"/>
        <v>3900</v>
      </c>
      <c r="R42">
        <f t="shared" si="2"/>
        <v>3262.9741034828971</v>
      </c>
    </row>
    <row r="43" spans="15:18" x14ac:dyDescent="0.2">
      <c r="O43">
        <v>40</v>
      </c>
      <c r="P43">
        <f t="shared" si="0"/>
        <v>5656.8542494923859</v>
      </c>
      <c r="Q43">
        <f t="shared" si="1"/>
        <v>4000</v>
      </c>
      <c r="R43">
        <f t="shared" si="2"/>
        <v>3346.6401061363049</v>
      </c>
    </row>
    <row r="44" spans="15:18" x14ac:dyDescent="0.2">
      <c r="O44">
        <v>41</v>
      </c>
      <c r="P44">
        <f t="shared" si="0"/>
        <v>5798.2756057296956</v>
      </c>
      <c r="Q44">
        <f t="shared" si="1"/>
        <v>4100</v>
      </c>
      <c r="R44">
        <f t="shared" si="2"/>
        <v>3430.3061087897127</v>
      </c>
    </row>
    <row r="45" spans="15:18" x14ac:dyDescent="0.2">
      <c r="O45">
        <v>42</v>
      </c>
      <c r="P45">
        <f t="shared" si="0"/>
        <v>5939.6969619670053</v>
      </c>
      <c r="Q45">
        <f t="shared" si="1"/>
        <v>4200</v>
      </c>
      <c r="R45">
        <f t="shared" si="2"/>
        <v>3513.9721114431204</v>
      </c>
    </row>
    <row r="46" spans="15:18" x14ac:dyDescent="0.2">
      <c r="O46">
        <v>43</v>
      </c>
      <c r="P46">
        <f t="shared" si="0"/>
        <v>6081.1183182043151</v>
      </c>
      <c r="Q46">
        <f t="shared" si="1"/>
        <v>4300</v>
      </c>
      <c r="R46">
        <f t="shared" si="2"/>
        <v>3597.6381140965282</v>
      </c>
    </row>
    <row r="47" spans="15:18" x14ac:dyDescent="0.2">
      <c r="O47">
        <v>44</v>
      </c>
      <c r="P47">
        <f t="shared" si="0"/>
        <v>6222.5396744416248</v>
      </c>
      <c r="Q47">
        <f t="shared" si="1"/>
        <v>4400</v>
      </c>
      <c r="R47">
        <f t="shared" si="2"/>
        <v>3681.3041167499359</v>
      </c>
    </row>
    <row r="48" spans="15:18" x14ac:dyDescent="0.2">
      <c r="O48">
        <v>45</v>
      </c>
      <c r="P48">
        <f t="shared" si="0"/>
        <v>6363.9610306789345</v>
      </c>
      <c r="Q48">
        <f t="shared" si="1"/>
        <v>4500</v>
      </c>
      <c r="R48">
        <f t="shared" si="2"/>
        <v>3764.9701194033437</v>
      </c>
    </row>
    <row r="49" spans="15:18" x14ac:dyDescent="0.2">
      <c r="O49">
        <v>46</v>
      </c>
      <c r="P49">
        <f t="shared" si="0"/>
        <v>6505.3823869162443</v>
      </c>
      <c r="Q49">
        <f t="shared" si="1"/>
        <v>4600</v>
      </c>
      <c r="R49">
        <f t="shared" si="2"/>
        <v>3848.6361220567514</v>
      </c>
    </row>
    <row r="50" spans="15:18" x14ac:dyDescent="0.2">
      <c r="O50">
        <v>47</v>
      </c>
      <c r="P50">
        <f t="shared" si="0"/>
        <v>6646.803743153554</v>
      </c>
      <c r="Q50">
        <f t="shared" si="1"/>
        <v>4700</v>
      </c>
      <c r="R50">
        <f t="shared" si="2"/>
        <v>3932.3021247101592</v>
      </c>
    </row>
    <row r="51" spans="15:18" x14ac:dyDescent="0.2">
      <c r="O51">
        <v>48</v>
      </c>
      <c r="P51">
        <f t="shared" si="0"/>
        <v>6788.2250993908638</v>
      </c>
      <c r="Q51">
        <f t="shared" si="1"/>
        <v>4800</v>
      </c>
      <c r="R51">
        <f t="shared" si="2"/>
        <v>4015.968127363567</v>
      </c>
    </row>
    <row r="52" spans="15:18" x14ac:dyDescent="0.2">
      <c r="O52">
        <v>49</v>
      </c>
      <c r="P52">
        <f t="shared" si="0"/>
        <v>6929.6464556281735</v>
      </c>
      <c r="Q52">
        <f t="shared" si="1"/>
        <v>4900</v>
      </c>
      <c r="R52">
        <f t="shared" si="2"/>
        <v>4099.6341300169743</v>
      </c>
    </row>
    <row r="53" spans="15:18" x14ac:dyDescent="0.2">
      <c r="O53">
        <v>50</v>
      </c>
      <c r="P53">
        <f t="shared" si="0"/>
        <v>7071.0678118654832</v>
      </c>
      <c r="Q53">
        <f t="shared" si="1"/>
        <v>5000</v>
      </c>
      <c r="R53">
        <f t="shared" si="2"/>
        <v>4183.3001326703816</v>
      </c>
    </row>
    <row r="54" spans="15:18" x14ac:dyDescent="0.2">
      <c r="O54">
        <v>51</v>
      </c>
      <c r="P54">
        <f t="shared" si="0"/>
        <v>7212.489168102793</v>
      </c>
      <c r="Q54">
        <f t="shared" si="1"/>
        <v>5100</v>
      </c>
      <c r="R54">
        <f t="shared" si="2"/>
        <v>4266.9661353237889</v>
      </c>
    </row>
    <row r="55" spans="15:18" x14ac:dyDescent="0.2">
      <c r="O55">
        <v>52</v>
      </c>
      <c r="P55">
        <f t="shared" si="0"/>
        <v>7353.9105243401027</v>
      </c>
      <c r="Q55">
        <f t="shared" si="1"/>
        <v>5200</v>
      </c>
      <c r="R55">
        <f t="shared" si="2"/>
        <v>4350.6321379771962</v>
      </c>
    </row>
    <row r="56" spans="15:18" x14ac:dyDescent="0.2">
      <c r="O56">
        <v>53</v>
      </c>
      <c r="P56">
        <f t="shared" si="0"/>
        <v>7495.3318805774124</v>
      </c>
      <c r="Q56">
        <f t="shared" si="1"/>
        <v>5300</v>
      </c>
      <c r="R56">
        <f t="shared" si="2"/>
        <v>4434.2981406306035</v>
      </c>
    </row>
    <row r="57" spans="15:18" x14ac:dyDescent="0.2">
      <c r="O57">
        <v>54</v>
      </c>
      <c r="P57">
        <f t="shared" si="0"/>
        <v>7636.7532368147222</v>
      </c>
      <c r="Q57">
        <f t="shared" si="1"/>
        <v>5400</v>
      </c>
      <c r="R57">
        <f t="shared" si="2"/>
        <v>4517.9641432840108</v>
      </c>
    </row>
    <row r="58" spans="15:18" x14ac:dyDescent="0.2">
      <c r="O58">
        <v>55</v>
      </c>
      <c r="P58">
        <f t="shared" si="0"/>
        <v>7778.1745930520319</v>
      </c>
      <c r="Q58">
        <f t="shared" si="1"/>
        <v>5500</v>
      </c>
      <c r="R58">
        <f t="shared" si="2"/>
        <v>4601.6301459374181</v>
      </c>
    </row>
    <row r="59" spans="15:18" x14ac:dyDescent="0.2">
      <c r="O59">
        <v>56</v>
      </c>
      <c r="P59">
        <f t="shared" si="0"/>
        <v>7919.5959492893417</v>
      </c>
      <c r="Q59">
        <f t="shared" si="1"/>
        <v>5600</v>
      </c>
      <c r="R59">
        <f t="shared" si="2"/>
        <v>4685.2961485908254</v>
      </c>
    </row>
    <row r="60" spans="15:18" x14ac:dyDescent="0.2">
      <c r="O60">
        <v>57</v>
      </c>
      <c r="P60">
        <f t="shared" si="0"/>
        <v>8061.0173055266514</v>
      </c>
      <c r="Q60">
        <f t="shared" si="1"/>
        <v>5700</v>
      </c>
      <c r="R60">
        <f t="shared" si="2"/>
        <v>4768.9621512442327</v>
      </c>
    </row>
    <row r="61" spans="15:18" x14ac:dyDescent="0.2">
      <c r="O61">
        <v>58</v>
      </c>
      <c r="P61">
        <f t="shared" si="0"/>
        <v>8202.4386617639611</v>
      </c>
      <c r="Q61">
        <f t="shared" si="1"/>
        <v>5800</v>
      </c>
      <c r="R61">
        <f t="shared" si="2"/>
        <v>4852.62815389764</v>
      </c>
    </row>
    <row r="62" spans="15:18" x14ac:dyDescent="0.2">
      <c r="O62">
        <v>59</v>
      </c>
      <c r="P62">
        <f t="shared" si="0"/>
        <v>8343.8600180012709</v>
      </c>
      <c r="Q62">
        <f t="shared" si="1"/>
        <v>5900</v>
      </c>
      <c r="R62">
        <f t="shared" si="2"/>
        <v>4936.2941565510473</v>
      </c>
    </row>
    <row r="63" spans="15:18" x14ac:dyDescent="0.2">
      <c r="O63">
        <v>60</v>
      </c>
      <c r="P63">
        <f t="shared" si="0"/>
        <v>8485.2813742385806</v>
      </c>
      <c r="Q63">
        <f t="shared" si="1"/>
        <v>6000</v>
      </c>
      <c r="R63">
        <f t="shared" si="2"/>
        <v>5019.9601592044546</v>
      </c>
    </row>
    <row r="64" spans="15:18" x14ac:dyDescent="0.2">
      <c r="O64">
        <v>61</v>
      </c>
      <c r="P64">
        <f t="shared" si="0"/>
        <v>8626.7027304758903</v>
      </c>
      <c r="Q64">
        <f t="shared" si="1"/>
        <v>6100</v>
      </c>
      <c r="R64">
        <f t="shared" si="2"/>
        <v>5103.6261618578619</v>
      </c>
    </row>
    <row r="65" spans="15:18" x14ac:dyDescent="0.2">
      <c r="O65">
        <v>62</v>
      </c>
      <c r="P65">
        <f t="shared" si="0"/>
        <v>8768.1240867132001</v>
      </c>
      <c r="Q65">
        <f t="shared" si="1"/>
        <v>6200</v>
      </c>
      <c r="R65">
        <f t="shared" si="2"/>
        <v>5187.2921645112692</v>
      </c>
    </row>
    <row r="66" spans="15:18" x14ac:dyDescent="0.2">
      <c r="O66">
        <v>63</v>
      </c>
      <c r="P66">
        <f t="shared" si="0"/>
        <v>8909.5454429505098</v>
      </c>
      <c r="Q66">
        <f t="shared" si="1"/>
        <v>6300</v>
      </c>
      <c r="R66">
        <f t="shared" si="2"/>
        <v>5270.9581671646765</v>
      </c>
    </row>
    <row r="67" spans="15:18" x14ac:dyDescent="0.2">
      <c r="O67">
        <v>64</v>
      </c>
      <c r="P67">
        <f t="shared" si="0"/>
        <v>9050.9667991878196</v>
      </c>
      <c r="Q67">
        <f t="shared" si="1"/>
        <v>6400</v>
      </c>
      <c r="R67">
        <f t="shared" si="2"/>
        <v>5354.6241698180838</v>
      </c>
    </row>
    <row r="68" spans="15:18" x14ac:dyDescent="0.2">
      <c r="O68">
        <v>65</v>
      </c>
      <c r="P68">
        <f t="shared" si="0"/>
        <v>9192.3881554251293</v>
      </c>
      <c r="Q68">
        <f t="shared" si="1"/>
        <v>6500</v>
      </c>
      <c r="R68">
        <f t="shared" si="2"/>
        <v>5438.2901724714911</v>
      </c>
    </row>
    <row r="69" spans="15:18" x14ac:dyDescent="0.2">
      <c r="O69">
        <v>66</v>
      </c>
      <c r="P69">
        <f t="shared" ref="P69:P132" si="3">IF($O69&lt;=$B$6/2, SQRT($B$3*($O69-$O68))+P68, IF((P68-SQRT($B$3*($O69-$O68)))&lt;0, 0, P68-SQRT($B$3*($O69-$O68))))</f>
        <v>9333.809511662439</v>
      </c>
      <c r="Q69">
        <f t="shared" ref="Q69:Q132" si="4">IF($O69&lt;=$B$6/2, SQRT($B$4*($O69-$O68))+Q68, IF((Q68-SQRT($B$4*($O69-$O68)))&lt;0, 0, Q68-SQRT($B$4*($O69-$O68))))</f>
        <v>6600</v>
      </c>
      <c r="R69">
        <f t="shared" ref="R69:R132" si="5">IF($O69&lt;=$B$6/2, SQRT($B$5*($O69-$O68))+R68, IF((R68-SQRT($B$5*($O69-$O68)))&lt;0, 0, R68-SQRT($B$5*($O69-$O68))))</f>
        <v>5521.9561751248984</v>
      </c>
    </row>
    <row r="70" spans="15:18" x14ac:dyDescent="0.2">
      <c r="O70">
        <v>67</v>
      </c>
      <c r="P70">
        <f t="shared" si="3"/>
        <v>9475.2308678997488</v>
      </c>
      <c r="Q70">
        <f t="shared" si="4"/>
        <v>6700</v>
      </c>
      <c r="R70">
        <f t="shared" si="5"/>
        <v>5605.6221777783057</v>
      </c>
    </row>
    <row r="71" spans="15:18" x14ac:dyDescent="0.2">
      <c r="O71">
        <v>68</v>
      </c>
      <c r="P71">
        <f t="shared" si="3"/>
        <v>9616.6522241370585</v>
      </c>
      <c r="Q71">
        <f t="shared" si="4"/>
        <v>6800</v>
      </c>
      <c r="R71">
        <f t="shared" si="5"/>
        <v>5689.288180431713</v>
      </c>
    </row>
    <row r="72" spans="15:18" x14ac:dyDescent="0.2">
      <c r="O72">
        <v>69</v>
      </c>
      <c r="P72">
        <f t="shared" si="3"/>
        <v>9758.0735803743682</v>
      </c>
      <c r="Q72">
        <f t="shared" si="4"/>
        <v>6900</v>
      </c>
      <c r="R72">
        <f t="shared" si="5"/>
        <v>5772.9541830851203</v>
      </c>
    </row>
    <row r="73" spans="15:18" x14ac:dyDescent="0.2">
      <c r="O73">
        <v>70</v>
      </c>
      <c r="P73">
        <f t="shared" si="3"/>
        <v>9899.494936611678</v>
      </c>
      <c r="Q73">
        <f t="shared" si="4"/>
        <v>7000</v>
      </c>
      <c r="R73">
        <f t="shared" si="5"/>
        <v>5856.6201857385277</v>
      </c>
    </row>
    <row r="74" spans="15:18" x14ac:dyDescent="0.2">
      <c r="O74">
        <v>71</v>
      </c>
      <c r="P74">
        <f t="shared" si="3"/>
        <v>10040.916292848988</v>
      </c>
      <c r="Q74">
        <f t="shared" si="4"/>
        <v>7100</v>
      </c>
      <c r="R74">
        <f t="shared" si="5"/>
        <v>5940.286188391935</v>
      </c>
    </row>
    <row r="75" spans="15:18" x14ac:dyDescent="0.2">
      <c r="O75">
        <v>72</v>
      </c>
      <c r="P75">
        <f t="shared" si="3"/>
        <v>10182.337649086297</v>
      </c>
      <c r="Q75">
        <f t="shared" si="4"/>
        <v>7200</v>
      </c>
      <c r="R75">
        <f t="shared" si="5"/>
        <v>6023.9521910453423</v>
      </c>
    </row>
    <row r="76" spans="15:18" x14ac:dyDescent="0.2">
      <c r="O76">
        <v>73</v>
      </c>
      <c r="P76">
        <f t="shared" si="3"/>
        <v>10323.759005323607</v>
      </c>
      <c r="Q76">
        <f t="shared" si="4"/>
        <v>7300</v>
      </c>
      <c r="R76">
        <f t="shared" si="5"/>
        <v>6107.6181936987496</v>
      </c>
    </row>
    <row r="77" spans="15:18" x14ac:dyDescent="0.2">
      <c r="O77">
        <v>74</v>
      </c>
      <c r="P77">
        <f t="shared" si="3"/>
        <v>10465.180361560917</v>
      </c>
      <c r="Q77">
        <f t="shared" si="4"/>
        <v>7400</v>
      </c>
      <c r="R77">
        <f t="shared" si="5"/>
        <v>6191.2841963521569</v>
      </c>
    </row>
    <row r="78" spans="15:18" x14ac:dyDescent="0.2">
      <c r="O78">
        <v>75</v>
      </c>
      <c r="P78">
        <f t="shared" si="3"/>
        <v>10606.601717798227</v>
      </c>
      <c r="Q78">
        <f t="shared" si="4"/>
        <v>7500</v>
      </c>
      <c r="R78">
        <f t="shared" si="5"/>
        <v>6274.9501990055642</v>
      </c>
    </row>
    <row r="79" spans="15:18" x14ac:dyDescent="0.2">
      <c r="O79">
        <v>76</v>
      </c>
      <c r="P79">
        <f t="shared" si="3"/>
        <v>10748.023074035536</v>
      </c>
      <c r="Q79">
        <f t="shared" si="4"/>
        <v>7600</v>
      </c>
      <c r="R79">
        <f t="shared" si="5"/>
        <v>6358.6162016589715</v>
      </c>
    </row>
    <row r="80" spans="15:18" x14ac:dyDescent="0.2">
      <c r="O80">
        <v>77</v>
      </c>
      <c r="P80">
        <f t="shared" si="3"/>
        <v>10889.444430272846</v>
      </c>
      <c r="Q80">
        <f t="shared" si="4"/>
        <v>7700</v>
      </c>
      <c r="R80">
        <f t="shared" si="5"/>
        <v>6442.2822043123788</v>
      </c>
    </row>
    <row r="81" spans="15:18" x14ac:dyDescent="0.2">
      <c r="O81">
        <v>78</v>
      </c>
      <c r="P81">
        <f t="shared" si="3"/>
        <v>11030.865786510156</v>
      </c>
      <c r="Q81">
        <f t="shared" si="4"/>
        <v>7800</v>
      </c>
      <c r="R81">
        <f t="shared" si="5"/>
        <v>6525.9482069657861</v>
      </c>
    </row>
    <row r="82" spans="15:18" x14ac:dyDescent="0.2">
      <c r="O82">
        <v>79</v>
      </c>
      <c r="P82">
        <f t="shared" si="3"/>
        <v>11172.287142747466</v>
      </c>
      <c r="Q82">
        <f t="shared" si="4"/>
        <v>7900</v>
      </c>
      <c r="R82">
        <f t="shared" si="5"/>
        <v>6609.6142096191934</v>
      </c>
    </row>
    <row r="83" spans="15:18" x14ac:dyDescent="0.2">
      <c r="O83">
        <v>80</v>
      </c>
      <c r="P83">
        <f t="shared" si="3"/>
        <v>11313.708498984775</v>
      </c>
      <c r="Q83">
        <f t="shared" si="4"/>
        <v>8000</v>
      </c>
      <c r="R83">
        <f t="shared" si="5"/>
        <v>6693.2802122726007</v>
      </c>
    </row>
    <row r="84" spans="15:18" x14ac:dyDescent="0.2">
      <c r="O84">
        <v>81</v>
      </c>
      <c r="P84">
        <f t="shared" si="3"/>
        <v>11455.129855222085</v>
      </c>
      <c r="Q84">
        <f t="shared" si="4"/>
        <v>8100</v>
      </c>
      <c r="R84">
        <f t="shared" si="5"/>
        <v>6776.946214926008</v>
      </c>
    </row>
    <row r="85" spans="15:18" x14ac:dyDescent="0.2">
      <c r="O85">
        <v>82</v>
      </c>
      <c r="P85">
        <f t="shared" si="3"/>
        <v>11596.551211459395</v>
      </c>
      <c r="Q85">
        <f t="shared" si="4"/>
        <v>8200</v>
      </c>
      <c r="R85">
        <f t="shared" si="5"/>
        <v>6860.6122175794153</v>
      </c>
    </row>
    <row r="86" spans="15:18" x14ac:dyDescent="0.2">
      <c r="O86">
        <v>83</v>
      </c>
      <c r="P86">
        <f t="shared" si="3"/>
        <v>11737.972567696705</v>
      </c>
      <c r="Q86">
        <f t="shared" si="4"/>
        <v>8300</v>
      </c>
      <c r="R86">
        <f t="shared" si="5"/>
        <v>6944.2782202328226</v>
      </c>
    </row>
    <row r="87" spans="15:18" x14ac:dyDescent="0.2">
      <c r="O87">
        <v>84</v>
      </c>
      <c r="P87">
        <f t="shared" si="3"/>
        <v>11879.393923934014</v>
      </c>
      <c r="Q87">
        <f t="shared" si="4"/>
        <v>8400</v>
      </c>
      <c r="R87">
        <f t="shared" si="5"/>
        <v>7027.9442228862299</v>
      </c>
    </row>
    <row r="88" spans="15:18" x14ac:dyDescent="0.2">
      <c r="O88">
        <v>85</v>
      </c>
      <c r="P88">
        <f t="shared" si="3"/>
        <v>12020.815280171324</v>
      </c>
      <c r="Q88">
        <f t="shared" si="4"/>
        <v>8500</v>
      </c>
      <c r="R88">
        <f t="shared" si="5"/>
        <v>7111.6102255396372</v>
      </c>
    </row>
    <row r="89" spans="15:18" x14ac:dyDescent="0.2">
      <c r="O89">
        <v>86</v>
      </c>
      <c r="P89">
        <f t="shared" si="3"/>
        <v>12162.236636408634</v>
      </c>
      <c r="Q89">
        <f t="shared" si="4"/>
        <v>8600</v>
      </c>
      <c r="R89">
        <f t="shared" si="5"/>
        <v>7195.2762281930445</v>
      </c>
    </row>
    <row r="90" spans="15:18" x14ac:dyDescent="0.2">
      <c r="O90">
        <v>87</v>
      </c>
      <c r="P90">
        <f t="shared" si="3"/>
        <v>12303.657992645944</v>
      </c>
      <c r="Q90">
        <f t="shared" si="4"/>
        <v>8700</v>
      </c>
      <c r="R90">
        <f t="shared" si="5"/>
        <v>7278.9422308464518</v>
      </c>
    </row>
    <row r="91" spans="15:18" x14ac:dyDescent="0.2">
      <c r="O91">
        <v>88</v>
      </c>
      <c r="P91">
        <f t="shared" si="3"/>
        <v>12445.079348883253</v>
      </c>
      <c r="Q91">
        <f t="shared" si="4"/>
        <v>8800</v>
      </c>
      <c r="R91">
        <f t="shared" si="5"/>
        <v>7362.6082334998591</v>
      </c>
    </row>
    <row r="92" spans="15:18" x14ac:dyDescent="0.2">
      <c r="O92">
        <v>89</v>
      </c>
      <c r="P92">
        <f t="shared" si="3"/>
        <v>12586.500705120563</v>
      </c>
      <c r="Q92">
        <f t="shared" si="4"/>
        <v>8900</v>
      </c>
      <c r="R92">
        <f t="shared" si="5"/>
        <v>7446.2742361532664</v>
      </c>
    </row>
    <row r="93" spans="15:18" x14ac:dyDescent="0.2">
      <c r="O93">
        <v>90</v>
      </c>
      <c r="P93">
        <f t="shared" si="3"/>
        <v>12727.922061357873</v>
      </c>
      <c r="Q93">
        <f t="shared" si="4"/>
        <v>9000</v>
      </c>
      <c r="R93">
        <f t="shared" si="5"/>
        <v>7529.9402388066737</v>
      </c>
    </row>
    <row r="94" spans="15:18" x14ac:dyDescent="0.2">
      <c r="O94">
        <v>91</v>
      </c>
      <c r="P94">
        <f t="shared" si="3"/>
        <v>12869.343417595182</v>
      </c>
      <c r="Q94">
        <f t="shared" si="4"/>
        <v>9100</v>
      </c>
      <c r="R94">
        <f t="shared" si="5"/>
        <v>7613.606241460081</v>
      </c>
    </row>
    <row r="95" spans="15:18" x14ac:dyDescent="0.2">
      <c r="O95">
        <v>92</v>
      </c>
      <c r="P95">
        <f t="shared" si="3"/>
        <v>13010.764773832492</v>
      </c>
      <c r="Q95">
        <f t="shared" si="4"/>
        <v>9200</v>
      </c>
      <c r="R95">
        <f t="shared" si="5"/>
        <v>7697.2722441134883</v>
      </c>
    </row>
    <row r="96" spans="15:18" x14ac:dyDescent="0.2">
      <c r="O96">
        <v>93</v>
      </c>
      <c r="P96">
        <f t="shared" si="3"/>
        <v>13152.186130069802</v>
      </c>
      <c r="Q96">
        <f t="shared" si="4"/>
        <v>9300</v>
      </c>
      <c r="R96">
        <f t="shared" si="5"/>
        <v>7780.9382467668956</v>
      </c>
    </row>
    <row r="97" spans="15:18" x14ac:dyDescent="0.2">
      <c r="O97">
        <v>94</v>
      </c>
      <c r="P97">
        <f t="shared" si="3"/>
        <v>13293.607486307112</v>
      </c>
      <c r="Q97">
        <f t="shared" si="4"/>
        <v>9400</v>
      </c>
      <c r="R97">
        <f t="shared" si="5"/>
        <v>7864.6042494203029</v>
      </c>
    </row>
    <row r="98" spans="15:18" x14ac:dyDescent="0.2">
      <c r="O98">
        <v>95</v>
      </c>
      <c r="P98">
        <f t="shared" si="3"/>
        <v>13435.028842544421</v>
      </c>
      <c r="Q98">
        <f t="shared" si="4"/>
        <v>9500</v>
      </c>
      <c r="R98">
        <f t="shared" si="5"/>
        <v>7948.2702520737103</v>
      </c>
    </row>
    <row r="99" spans="15:18" x14ac:dyDescent="0.2">
      <c r="O99">
        <v>96</v>
      </c>
      <c r="P99">
        <f t="shared" si="3"/>
        <v>13576.450198781731</v>
      </c>
      <c r="Q99">
        <f t="shared" si="4"/>
        <v>9600</v>
      </c>
      <c r="R99">
        <f t="shared" si="5"/>
        <v>8031.9362547271176</v>
      </c>
    </row>
    <row r="100" spans="15:18" x14ac:dyDescent="0.2">
      <c r="O100">
        <v>97</v>
      </c>
      <c r="P100">
        <f t="shared" si="3"/>
        <v>13717.871555019041</v>
      </c>
      <c r="Q100">
        <f t="shared" si="4"/>
        <v>9700</v>
      </c>
      <c r="R100">
        <f t="shared" si="5"/>
        <v>8115.6022573805249</v>
      </c>
    </row>
    <row r="101" spans="15:18" x14ac:dyDescent="0.2">
      <c r="O101">
        <v>98</v>
      </c>
      <c r="P101">
        <f t="shared" si="3"/>
        <v>13859.292911256351</v>
      </c>
      <c r="Q101">
        <f t="shared" si="4"/>
        <v>9800</v>
      </c>
      <c r="R101">
        <f t="shared" si="5"/>
        <v>8199.2682600339322</v>
      </c>
    </row>
    <row r="102" spans="15:18" x14ac:dyDescent="0.2">
      <c r="O102">
        <v>99</v>
      </c>
      <c r="P102">
        <f t="shared" si="3"/>
        <v>14000.71426749366</v>
      </c>
      <c r="Q102">
        <f t="shared" si="4"/>
        <v>9900</v>
      </c>
      <c r="R102">
        <f t="shared" si="5"/>
        <v>8282.9342626873404</v>
      </c>
    </row>
    <row r="103" spans="15:18" x14ac:dyDescent="0.2">
      <c r="O103">
        <v>100</v>
      </c>
      <c r="P103">
        <f t="shared" si="3"/>
        <v>14142.13562373097</v>
      </c>
      <c r="Q103">
        <f t="shared" si="4"/>
        <v>10000</v>
      </c>
      <c r="R103">
        <f t="shared" si="5"/>
        <v>8366.6002653407486</v>
      </c>
    </row>
    <row r="104" spans="15:18" x14ac:dyDescent="0.2">
      <c r="O104">
        <v>101</v>
      </c>
      <c r="P104">
        <f t="shared" si="3"/>
        <v>14283.55697996828</v>
      </c>
      <c r="Q104">
        <f t="shared" si="4"/>
        <v>10100</v>
      </c>
      <c r="R104">
        <f t="shared" si="5"/>
        <v>8450.2662679941568</v>
      </c>
    </row>
    <row r="105" spans="15:18" x14ac:dyDescent="0.2">
      <c r="O105">
        <v>102</v>
      </c>
      <c r="P105">
        <f t="shared" si="3"/>
        <v>14424.97833620559</v>
      </c>
      <c r="Q105">
        <f t="shared" si="4"/>
        <v>10200</v>
      </c>
      <c r="R105">
        <f t="shared" si="5"/>
        <v>8533.932270647565</v>
      </c>
    </row>
    <row r="106" spans="15:18" x14ac:dyDescent="0.2">
      <c r="O106">
        <v>103</v>
      </c>
      <c r="P106">
        <f t="shared" si="3"/>
        <v>14566.399692442899</v>
      </c>
      <c r="Q106">
        <f t="shared" si="4"/>
        <v>10300</v>
      </c>
      <c r="R106">
        <f t="shared" si="5"/>
        <v>8617.5982733009732</v>
      </c>
    </row>
    <row r="107" spans="15:18" x14ac:dyDescent="0.2">
      <c r="O107">
        <v>104</v>
      </c>
      <c r="P107">
        <f t="shared" si="3"/>
        <v>14707.821048680209</v>
      </c>
      <c r="Q107">
        <f t="shared" si="4"/>
        <v>10400</v>
      </c>
      <c r="R107">
        <f t="shared" si="5"/>
        <v>8701.2642759543814</v>
      </c>
    </row>
    <row r="108" spans="15:18" x14ac:dyDescent="0.2">
      <c r="O108">
        <v>105</v>
      </c>
      <c r="P108">
        <f t="shared" si="3"/>
        <v>14849.242404917519</v>
      </c>
      <c r="Q108">
        <f t="shared" si="4"/>
        <v>10500</v>
      </c>
      <c r="R108">
        <f t="shared" si="5"/>
        <v>8784.9302786077897</v>
      </c>
    </row>
    <row r="109" spans="15:18" x14ac:dyDescent="0.2">
      <c r="O109">
        <v>106</v>
      </c>
      <c r="P109">
        <f t="shared" si="3"/>
        <v>14990.663761154829</v>
      </c>
      <c r="Q109">
        <f t="shared" si="4"/>
        <v>10600</v>
      </c>
      <c r="R109">
        <f t="shared" si="5"/>
        <v>8868.5962812611979</v>
      </c>
    </row>
    <row r="110" spans="15:18" x14ac:dyDescent="0.2">
      <c r="O110">
        <v>107</v>
      </c>
      <c r="P110">
        <f t="shared" si="3"/>
        <v>15132.085117392138</v>
      </c>
      <c r="Q110">
        <f t="shared" si="4"/>
        <v>10700</v>
      </c>
      <c r="R110">
        <f t="shared" si="5"/>
        <v>8952.2622839146061</v>
      </c>
    </row>
    <row r="111" spans="15:18" x14ac:dyDescent="0.2">
      <c r="O111">
        <v>108</v>
      </c>
      <c r="P111">
        <f t="shared" si="3"/>
        <v>15273.506473629448</v>
      </c>
      <c r="Q111">
        <f t="shared" si="4"/>
        <v>10800</v>
      </c>
      <c r="R111">
        <f t="shared" si="5"/>
        <v>9035.9282865680143</v>
      </c>
    </row>
    <row r="112" spans="15:18" x14ac:dyDescent="0.2">
      <c r="O112">
        <v>109</v>
      </c>
      <c r="P112">
        <f t="shared" si="3"/>
        <v>15414.927829866758</v>
      </c>
      <c r="Q112">
        <f t="shared" si="4"/>
        <v>10900</v>
      </c>
      <c r="R112">
        <f t="shared" si="5"/>
        <v>9119.5942892214225</v>
      </c>
    </row>
    <row r="113" spans="15:18" x14ac:dyDescent="0.2">
      <c r="O113">
        <v>110</v>
      </c>
      <c r="P113">
        <f t="shared" si="3"/>
        <v>15556.349186104067</v>
      </c>
      <c r="Q113">
        <f t="shared" si="4"/>
        <v>11000</v>
      </c>
      <c r="R113">
        <f t="shared" si="5"/>
        <v>9203.2602918748307</v>
      </c>
    </row>
    <row r="114" spans="15:18" x14ac:dyDescent="0.2">
      <c r="O114">
        <v>111</v>
      </c>
      <c r="P114">
        <f t="shared" si="3"/>
        <v>15697.770542341377</v>
      </c>
      <c r="Q114">
        <f t="shared" si="4"/>
        <v>11100</v>
      </c>
      <c r="R114">
        <f t="shared" si="5"/>
        <v>9286.9262945282389</v>
      </c>
    </row>
    <row r="115" spans="15:18" x14ac:dyDescent="0.2">
      <c r="O115">
        <v>112</v>
      </c>
      <c r="P115">
        <f t="shared" si="3"/>
        <v>15839.191898578687</v>
      </c>
      <c r="Q115">
        <f t="shared" si="4"/>
        <v>11200</v>
      </c>
      <c r="R115">
        <f t="shared" si="5"/>
        <v>9370.5922971816472</v>
      </c>
    </row>
    <row r="116" spans="15:18" x14ac:dyDescent="0.2">
      <c r="O116">
        <v>113</v>
      </c>
      <c r="P116">
        <f t="shared" si="3"/>
        <v>15980.613254815997</v>
      </c>
      <c r="Q116">
        <f t="shared" si="4"/>
        <v>11300</v>
      </c>
      <c r="R116">
        <f t="shared" si="5"/>
        <v>9454.2582998350554</v>
      </c>
    </row>
    <row r="117" spans="15:18" x14ac:dyDescent="0.2">
      <c r="O117">
        <v>114</v>
      </c>
      <c r="P117">
        <f t="shared" si="3"/>
        <v>16122.034611053306</v>
      </c>
      <c r="Q117">
        <f t="shared" si="4"/>
        <v>11400</v>
      </c>
      <c r="R117">
        <f t="shared" si="5"/>
        <v>9537.9243024884636</v>
      </c>
    </row>
    <row r="118" spans="15:18" x14ac:dyDescent="0.2">
      <c r="O118">
        <v>115</v>
      </c>
      <c r="P118">
        <f t="shared" si="3"/>
        <v>16263.455967290616</v>
      </c>
      <c r="Q118">
        <f t="shared" si="4"/>
        <v>11500</v>
      </c>
      <c r="R118">
        <f t="shared" si="5"/>
        <v>9621.5903051418718</v>
      </c>
    </row>
    <row r="119" spans="15:18" x14ac:dyDescent="0.2">
      <c r="O119">
        <v>116</v>
      </c>
      <c r="P119">
        <f t="shared" si="3"/>
        <v>16404.877323527926</v>
      </c>
      <c r="Q119">
        <f t="shared" si="4"/>
        <v>11600</v>
      </c>
      <c r="R119">
        <f t="shared" si="5"/>
        <v>9705.25630779528</v>
      </c>
    </row>
    <row r="120" spans="15:18" x14ac:dyDescent="0.2">
      <c r="O120">
        <v>117</v>
      </c>
      <c r="P120">
        <f t="shared" si="3"/>
        <v>16546.298679765234</v>
      </c>
      <c r="Q120">
        <f t="shared" si="4"/>
        <v>11700</v>
      </c>
      <c r="R120">
        <f t="shared" si="5"/>
        <v>9788.9223104486882</v>
      </c>
    </row>
    <row r="121" spans="15:18" x14ac:dyDescent="0.2">
      <c r="O121">
        <v>118</v>
      </c>
      <c r="P121">
        <f t="shared" si="3"/>
        <v>16687.720036002542</v>
      </c>
      <c r="Q121">
        <f t="shared" si="4"/>
        <v>11800</v>
      </c>
      <c r="R121">
        <f t="shared" si="5"/>
        <v>9872.5883131020964</v>
      </c>
    </row>
    <row r="122" spans="15:18" x14ac:dyDescent="0.2">
      <c r="O122">
        <v>119</v>
      </c>
      <c r="P122">
        <f t="shared" si="3"/>
        <v>16829.14139223985</v>
      </c>
      <c r="Q122">
        <f t="shared" si="4"/>
        <v>11900</v>
      </c>
      <c r="R122">
        <f t="shared" si="5"/>
        <v>9956.2543157555046</v>
      </c>
    </row>
    <row r="123" spans="15:18" x14ac:dyDescent="0.2">
      <c r="O123">
        <v>120</v>
      </c>
      <c r="P123">
        <f t="shared" si="3"/>
        <v>16970.562748477158</v>
      </c>
      <c r="Q123">
        <f t="shared" si="4"/>
        <v>12000</v>
      </c>
      <c r="R123">
        <f t="shared" si="5"/>
        <v>10039.920318408913</v>
      </c>
    </row>
    <row r="124" spans="15:18" x14ac:dyDescent="0.2">
      <c r="O124">
        <v>121</v>
      </c>
      <c r="P124">
        <f t="shared" si="3"/>
        <v>17111.984104714466</v>
      </c>
      <c r="Q124">
        <f t="shared" si="4"/>
        <v>12100</v>
      </c>
      <c r="R124">
        <f t="shared" si="5"/>
        <v>10123.586321062321</v>
      </c>
    </row>
    <row r="125" spans="15:18" x14ac:dyDescent="0.2">
      <c r="O125">
        <v>122</v>
      </c>
      <c r="P125">
        <f t="shared" si="3"/>
        <v>17253.405460951773</v>
      </c>
      <c r="Q125">
        <f t="shared" si="4"/>
        <v>12200</v>
      </c>
      <c r="R125">
        <f t="shared" si="5"/>
        <v>10207.252323715729</v>
      </c>
    </row>
    <row r="126" spans="15:18" x14ac:dyDescent="0.2">
      <c r="O126">
        <v>123</v>
      </c>
      <c r="P126">
        <f t="shared" si="3"/>
        <v>17394.826817189081</v>
      </c>
      <c r="Q126">
        <f t="shared" si="4"/>
        <v>12300</v>
      </c>
      <c r="R126">
        <f t="shared" si="5"/>
        <v>10290.918326369138</v>
      </c>
    </row>
    <row r="127" spans="15:18" x14ac:dyDescent="0.2">
      <c r="O127">
        <v>124</v>
      </c>
      <c r="P127">
        <f t="shared" si="3"/>
        <v>17536.248173426389</v>
      </c>
      <c r="Q127">
        <f t="shared" si="4"/>
        <v>12400</v>
      </c>
      <c r="R127">
        <f t="shared" si="5"/>
        <v>10374.584329022546</v>
      </c>
    </row>
    <row r="128" spans="15:18" x14ac:dyDescent="0.2">
      <c r="O128">
        <v>125</v>
      </c>
      <c r="P128">
        <f t="shared" si="3"/>
        <v>17677.669529663697</v>
      </c>
      <c r="Q128">
        <f t="shared" si="4"/>
        <v>12500</v>
      </c>
      <c r="R128">
        <f t="shared" si="5"/>
        <v>10458.250331675954</v>
      </c>
    </row>
    <row r="129" spans="15:18" x14ac:dyDescent="0.2">
      <c r="O129">
        <v>126</v>
      </c>
      <c r="P129">
        <f t="shared" si="3"/>
        <v>17536.248173426389</v>
      </c>
      <c r="Q129">
        <f t="shared" si="4"/>
        <v>12400</v>
      </c>
      <c r="R129">
        <f t="shared" si="5"/>
        <v>10374.584329022546</v>
      </c>
    </row>
    <row r="130" spans="15:18" x14ac:dyDescent="0.2">
      <c r="O130">
        <v>127</v>
      </c>
      <c r="P130">
        <f t="shared" si="3"/>
        <v>17394.826817189081</v>
      </c>
      <c r="Q130">
        <f t="shared" si="4"/>
        <v>12300</v>
      </c>
      <c r="R130">
        <f t="shared" si="5"/>
        <v>10290.918326369138</v>
      </c>
    </row>
    <row r="131" spans="15:18" x14ac:dyDescent="0.2">
      <c r="O131">
        <v>128</v>
      </c>
      <c r="P131">
        <f t="shared" si="3"/>
        <v>17253.405460951773</v>
      </c>
      <c r="Q131">
        <f t="shared" si="4"/>
        <v>12200</v>
      </c>
      <c r="R131">
        <f t="shared" si="5"/>
        <v>10207.252323715729</v>
      </c>
    </row>
    <row r="132" spans="15:18" x14ac:dyDescent="0.2">
      <c r="O132">
        <v>129</v>
      </c>
      <c r="P132">
        <f t="shared" si="3"/>
        <v>17111.984104714466</v>
      </c>
      <c r="Q132">
        <f t="shared" si="4"/>
        <v>12100</v>
      </c>
      <c r="R132">
        <f t="shared" si="5"/>
        <v>10123.586321062321</v>
      </c>
    </row>
    <row r="133" spans="15:18" x14ac:dyDescent="0.2">
      <c r="O133">
        <v>130</v>
      </c>
      <c r="P133">
        <f t="shared" ref="P133:P196" si="6">IF($O133&lt;=$B$6/2, SQRT($B$3*($O133-$O132))+P132, IF((P132-SQRT($B$3*($O133-$O132)))&lt;0, 0, P132-SQRT($B$3*($O133-$O132))))</f>
        <v>16970.562748477158</v>
      </c>
      <c r="Q133">
        <f t="shared" ref="Q133:Q196" si="7">IF($O133&lt;=$B$6/2, SQRT($B$4*($O133-$O132))+Q132, IF((Q132-SQRT($B$4*($O133-$O132)))&lt;0, 0, Q132-SQRT($B$4*($O133-$O132))))</f>
        <v>12000</v>
      </c>
      <c r="R133">
        <f t="shared" ref="R133:R196" si="8">IF($O133&lt;=$B$6/2, SQRT($B$5*($O133-$O132))+R132, IF((R132-SQRT($B$5*($O133-$O132)))&lt;0, 0, R132-SQRT($B$5*($O133-$O132))))</f>
        <v>10039.920318408913</v>
      </c>
    </row>
    <row r="134" spans="15:18" x14ac:dyDescent="0.2">
      <c r="O134">
        <v>131</v>
      </c>
      <c r="P134">
        <f t="shared" si="6"/>
        <v>16829.14139223985</v>
      </c>
      <c r="Q134">
        <f t="shared" si="7"/>
        <v>11900</v>
      </c>
      <c r="R134">
        <f t="shared" si="8"/>
        <v>9956.2543157555046</v>
      </c>
    </row>
    <row r="135" spans="15:18" x14ac:dyDescent="0.2">
      <c r="O135">
        <v>132</v>
      </c>
      <c r="P135">
        <f t="shared" si="6"/>
        <v>16687.720036002542</v>
      </c>
      <c r="Q135">
        <f t="shared" si="7"/>
        <v>11800</v>
      </c>
      <c r="R135">
        <f t="shared" si="8"/>
        <v>9872.5883131020964</v>
      </c>
    </row>
    <row r="136" spans="15:18" x14ac:dyDescent="0.2">
      <c r="O136">
        <v>133</v>
      </c>
      <c r="P136">
        <f t="shared" si="6"/>
        <v>16546.298679765234</v>
      </c>
      <c r="Q136">
        <f t="shared" si="7"/>
        <v>11700</v>
      </c>
      <c r="R136">
        <f t="shared" si="8"/>
        <v>9788.9223104486882</v>
      </c>
    </row>
    <row r="137" spans="15:18" x14ac:dyDescent="0.2">
      <c r="O137">
        <v>134</v>
      </c>
      <c r="P137">
        <f t="shared" si="6"/>
        <v>16404.877323527926</v>
      </c>
      <c r="Q137">
        <f t="shared" si="7"/>
        <v>11600</v>
      </c>
      <c r="R137">
        <f t="shared" si="8"/>
        <v>9705.25630779528</v>
      </c>
    </row>
    <row r="138" spans="15:18" x14ac:dyDescent="0.2">
      <c r="O138">
        <v>135</v>
      </c>
      <c r="P138">
        <f t="shared" si="6"/>
        <v>16263.455967290616</v>
      </c>
      <c r="Q138">
        <f t="shared" si="7"/>
        <v>11500</v>
      </c>
      <c r="R138">
        <f t="shared" si="8"/>
        <v>9621.5903051418718</v>
      </c>
    </row>
    <row r="139" spans="15:18" x14ac:dyDescent="0.2">
      <c r="O139">
        <v>136</v>
      </c>
      <c r="P139">
        <f t="shared" si="6"/>
        <v>16122.034611053306</v>
      </c>
      <c r="Q139">
        <f t="shared" si="7"/>
        <v>11400</v>
      </c>
      <c r="R139">
        <f t="shared" si="8"/>
        <v>9537.9243024884636</v>
      </c>
    </row>
    <row r="140" spans="15:18" x14ac:dyDescent="0.2">
      <c r="O140">
        <v>137</v>
      </c>
      <c r="P140">
        <f t="shared" si="6"/>
        <v>15980.613254815997</v>
      </c>
      <c r="Q140">
        <f t="shared" si="7"/>
        <v>11300</v>
      </c>
      <c r="R140">
        <f t="shared" si="8"/>
        <v>9454.2582998350554</v>
      </c>
    </row>
    <row r="141" spans="15:18" x14ac:dyDescent="0.2">
      <c r="O141">
        <v>138</v>
      </c>
      <c r="P141">
        <f t="shared" si="6"/>
        <v>15839.191898578687</v>
      </c>
      <c r="Q141">
        <f t="shared" si="7"/>
        <v>11200</v>
      </c>
      <c r="R141">
        <f t="shared" si="8"/>
        <v>9370.5922971816472</v>
      </c>
    </row>
    <row r="142" spans="15:18" x14ac:dyDescent="0.2">
      <c r="O142">
        <v>139</v>
      </c>
      <c r="P142">
        <f t="shared" si="6"/>
        <v>15697.770542341377</v>
      </c>
      <c r="Q142">
        <f t="shared" si="7"/>
        <v>11100</v>
      </c>
      <c r="R142">
        <f t="shared" si="8"/>
        <v>9286.9262945282389</v>
      </c>
    </row>
    <row r="143" spans="15:18" x14ac:dyDescent="0.2">
      <c r="O143">
        <v>140</v>
      </c>
      <c r="P143">
        <f t="shared" si="6"/>
        <v>15556.349186104067</v>
      </c>
      <c r="Q143">
        <f t="shared" si="7"/>
        <v>11000</v>
      </c>
      <c r="R143">
        <f t="shared" si="8"/>
        <v>9203.2602918748307</v>
      </c>
    </row>
    <row r="144" spans="15:18" x14ac:dyDescent="0.2">
      <c r="O144">
        <v>141</v>
      </c>
      <c r="P144">
        <f t="shared" si="6"/>
        <v>15414.927829866758</v>
      </c>
      <c r="Q144">
        <f t="shared" si="7"/>
        <v>10900</v>
      </c>
      <c r="R144">
        <f t="shared" si="8"/>
        <v>9119.5942892214225</v>
      </c>
    </row>
    <row r="145" spans="15:18" x14ac:dyDescent="0.2">
      <c r="O145">
        <v>142</v>
      </c>
      <c r="P145">
        <f t="shared" si="6"/>
        <v>15273.506473629448</v>
      </c>
      <c r="Q145">
        <f t="shared" si="7"/>
        <v>10800</v>
      </c>
      <c r="R145">
        <f t="shared" si="8"/>
        <v>9035.9282865680143</v>
      </c>
    </row>
    <row r="146" spans="15:18" x14ac:dyDescent="0.2">
      <c r="O146">
        <v>143</v>
      </c>
      <c r="P146">
        <f t="shared" si="6"/>
        <v>15132.085117392138</v>
      </c>
      <c r="Q146">
        <f t="shared" si="7"/>
        <v>10700</v>
      </c>
      <c r="R146">
        <f t="shared" si="8"/>
        <v>8952.2622839146061</v>
      </c>
    </row>
    <row r="147" spans="15:18" x14ac:dyDescent="0.2">
      <c r="O147">
        <v>144</v>
      </c>
      <c r="P147">
        <f t="shared" si="6"/>
        <v>14990.663761154829</v>
      </c>
      <c r="Q147">
        <f t="shared" si="7"/>
        <v>10600</v>
      </c>
      <c r="R147">
        <f t="shared" si="8"/>
        <v>8868.5962812611979</v>
      </c>
    </row>
    <row r="148" spans="15:18" x14ac:dyDescent="0.2">
      <c r="O148">
        <v>145</v>
      </c>
      <c r="P148">
        <f t="shared" si="6"/>
        <v>14849.242404917519</v>
      </c>
      <c r="Q148">
        <f t="shared" si="7"/>
        <v>10500</v>
      </c>
      <c r="R148">
        <f t="shared" si="8"/>
        <v>8784.9302786077897</v>
      </c>
    </row>
    <row r="149" spans="15:18" x14ac:dyDescent="0.2">
      <c r="O149">
        <v>146</v>
      </c>
      <c r="P149">
        <f t="shared" si="6"/>
        <v>14707.821048680209</v>
      </c>
      <c r="Q149">
        <f t="shared" si="7"/>
        <v>10400</v>
      </c>
      <c r="R149">
        <f t="shared" si="8"/>
        <v>8701.2642759543814</v>
      </c>
    </row>
    <row r="150" spans="15:18" x14ac:dyDescent="0.2">
      <c r="O150">
        <v>147</v>
      </c>
      <c r="P150">
        <f t="shared" si="6"/>
        <v>14566.399692442899</v>
      </c>
      <c r="Q150">
        <f t="shared" si="7"/>
        <v>10300</v>
      </c>
      <c r="R150">
        <f t="shared" si="8"/>
        <v>8617.5982733009732</v>
      </c>
    </row>
    <row r="151" spans="15:18" x14ac:dyDescent="0.2">
      <c r="O151">
        <v>148</v>
      </c>
      <c r="P151">
        <f t="shared" si="6"/>
        <v>14424.97833620559</v>
      </c>
      <c r="Q151">
        <f t="shared" si="7"/>
        <v>10200</v>
      </c>
      <c r="R151">
        <f t="shared" si="8"/>
        <v>8533.932270647565</v>
      </c>
    </row>
    <row r="152" spans="15:18" x14ac:dyDescent="0.2">
      <c r="O152">
        <v>149</v>
      </c>
      <c r="P152">
        <f t="shared" si="6"/>
        <v>14283.55697996828</v>
      </c>
      <c r="Q152">
        <f t="shared" si="7"/>
        <v>10100</v>
      </c>
      <c r="R152">
        <f t="shared" si="8"/>
        <v>8450.2662679941568</v>
      </c>
    </row>
    <row r="153" spans="15:18" x14ac:dyDescent="0.2">
      <c r="O153">
        <v>150</v>
      </c>
      <c r="P153">
        <f t="shared" si="6"/>
        <v>14142.13562373097</v>
      </c>
      <c r="Q153">
        <f t="shared" si="7"/>
        <v>10000</v>
      </c>
      <c r="R153">
        <f t="shared" si="8"/>
        <v>8366.6002653407486</v>
      </c>
    </row>
    <row r="154" spans="15:18" x14ac:dyDescent="0.2">
      <c r="O154">
        <v>151</v>
      </c>
      <c r="P154">
        <f t="shared" si="6"/>
        <v>14000.71426749366</v>
      </c>
      <c r="Q154">
        <f t="shared" si="7"/>
        <v>9900</v>
      </c>
      <c r="R154">
        <f t="shared" si="8"/>
        <v>8282.9342626873404</v>
      </c>
    </row>
    <row r="155" spans="15:18" x14ac:dyDescent="0.2">
      <c r="O155">
        <v>152</v>
      </c>
      <c r="P155">
        <f t="shared" si="6"/>
        <v>13859.292911256351</v>
      </c>
      <c r="Q155">
        <f t="shared" si="7"/>
        <v>9800</v>
      </c>
      <c r="R155">
        <f t="shared" si="8"/>
        <v>8199.2682600339322</v>
      </c>
    </row>
    <row r="156" spans="15:18" x14ac:dyDescent="0.2">
      <c r="O156">
        <v>153</v>
      </c>
      <c r="P156">
        <f t="shared" si="6"/>
        <v>13717.871555019041</v>
      </c>
      <c r="Q156">
        <f t="shared" si="7"/>
        <v>9700</v>
      </c>
      <c r="R156">
        <f t="shared" si="8"/>
        <v>8115.6022573805249</v>
      </c>
    </row>
    <row r="157" spans="15:18" x14ac:dyDescent="0.2">
      <c r="O157">
        <v>154</v>
      </c>
      <c r="P157">
        <f t="shared" si="6"/>
        <v>13576.450198781731</v>
      </c>
      <c r="Q157">
        <f t="shared" si="7"/>
        <v>9600</v>
      </c>
      <c r="R157">
        <f t="shared" si="8"/>
        <v>8031.9362547271176</v>
      </c>
    </row>
    <row r="158" spans="15:18" x14ac:dyDescent="0.2">
      <c r="O158">
        <v>155</v>
      </c>
      <c r="P158">
        <f t="shared" si="6"/>
        <v>13435.028842544421</v>
      </c>
      <c r="Q158">
        <f t="shared" si="7"/>
        <v>9500</v>
      </c>
      <c r="R158">
        <f t="shared" si="8"/>
        <v>7948.2702520737103</v>
      </c>
    </row>
    <row r="159" spans="15:18" x14ac:dyDescent="0.2">
      <c r="O159">
        <v>156</v>
      </c>
      <c r="P159">
        <f t="shared" si="6"/>
        <v>13293.607486307112</v>
      </c>
      <c r="Q159">
        <f t="shared" si="7"/>
        <v>9400</v>
      </c>
      <c r="R159">
        <f t="shared" si="8"/>
        <v>7864.6042494203029</v>
      </c>
    </row>
    <row r="160" spans="15:18" x14ac:dyDescent="0.2">
      <c r="O160">
        <v>157</v>
      </c>
      <c r="P160">
        <f t="shared" si="6"/>
        <v>13152.186130069802</v>
      </c>
      <c r="Q160">
        <f t="shared" si="7"/>
        <v>9300</v>
      </c>
      <c r="R160">
        <f t="shared" si="8"/>
        <v>7780.9382467668956</v>
      </c>
    </row>
    <row r="161" spans="15:18" x14ac:dyDescent="0.2">
      <c r="O161">
        <v>158</v>
      </c>
      <c r="P161">
        <f t="shared" si="6"/>
        <v>13010.764773832492</v>
      </c>
      <c r="Q161">
        <f t="shared" si="7"/>
        <v>9200</v>
      </c>
      <c r="R161">
        <f t="shared" si="8"/>
        <v>7697.2722441134883</v>
      </c>
    </row>
    <row r="162" spans="15:18" x14ac:dyDescent="0.2">
      <c r="O162">
        <v>159</v>
      </c>
      <c r="P162">
        <f t="shared" si="6"/>
        <v>12869.343417595182</v>
      </c>
      <c r="Q162">
        <f t="shared" si="7"/>
        <v>9100</v>
      </c>
      <c r="R162">
        <f t="shared" si="8"/>
        <v>7613.606241460081</v>
      </c>
    </row>
    <row r="163" spans="15:18" x14ac:dyDescent="0.2">
      <c r="O163">
        <v>160</v>
      </c>
      <c r="P163">
        <f t="shared" si="6"/>
        <v>12727.922061357873</v>
      </c>
      <c r="Q163">
        <f t="shared" si="7"/>
        <v>9000</v>
      </c>
      <c r="R163">
        <f t="shared" si="8"/>
        <v>7529.9402388066737</v>
      </c>
    </row>
    <row r="164" spans="15:18" x14ac:dyDescent="0.2">
      <c r="O164">
        <v>161</v>
      </c>
      <c r="P164">
        <f t="shared" si="6"/>
        <v>12586.500705120563</v>
      </c>
      <c r="Q164">
        <f t="shared" si="7"/>
        <v>8900</v>
      </c>
      <c r="R164">
        <f t="shared" si="8"/>
        <v>7446.2742361532664</v>
      </c>
    </row>
    <row r="165" spans="15:18" x14ac:dyDescent="0.2">
      <c r="O165">
        <v>162</v>
      </c>
      <c r="P165">
        <f t="shared" si="6"/>
        <v>12445.079348883253</v>
      </c>
      <c r="Q165">
        <f t="shared" si="7"/>
        <v>8800</v>
      </c>
      <c r="R165">
        <f t="shared" si="8"/>
        <v>7362.6082334998591</v>
      </c>
    </row>
    <row r="166" spans="15:18" x14ac:dyDescent="0.2">
      <c r="O166">
        <v>163</v>
      </c>
      <c r="P166">
        <f t="shared" si="6"/>
        <v>12303.657992645944</v>
      </c>
      <c r="Q166">
        <f t="shared" si="7"/>
        <v>8700</v>
      </c>
      <c r="R166">
        <f t="shared" si="8"/>
        <v>7278.9422308464518</v>
      </c>
    </row>
    <row r="167" spans="15:18" x14ac:dyDescent="0.2">
      <c r="O167">
        <v>164</v>
      </c>
      <c r="P167">
        <f t="shared" si="6"/>
        <v>12162.236636408634</v>
      </c>
      <c r="Q167">
        <f t="shared" si="7"/>
        <v>8600</v>
      </c>
      <c r="R167">
        <f t="shared" si="8"/>
        <v>7195.2762281930445</v>
      </c>
    </row>
    <row r="168" spans="15:18" x14ac:dyDescent="0.2">
      <c r="O168">
        <v>165</v>
      </c>
      <c r="P168">
        <f t="shared" si="6"/>
        <v>12020.815280171324</v>
      </c>
      <c r="Q168">
        <f t="shared" si="7"/>
        <v>8500</v>
      </c>
      <c r="R168">
        <f t="shared" si="8"/>
        <v>7111.6102255396372</v>
      </c>
    </row>
    <row r="169" spans="15:18" x14ac:dyDescent="0.2">
      <c r="O169">
        <v>166</v>
      </c>
      <c r="P169">
        <f t="shared" si="6"/>
        <v>11879.393923934014</v>
      </c>
      <c r="Q169">
        <f t="shared" si="7"/>
        <v>8400</v>
      </c>
      <c r="R169">
        <f t="shared" si="8"/>
        <v>7027.9442228862299</v>
      </c>
    </row>
    <row r="170" spans="15:18" x14ac:dyDescent="0.2">
      <c r="O170">
        <v>167</v>
      </c>
      <c r="P170">
        <f t="shared" si="6"/>
        <v>11737.972567696705</v>
      </c>
      <c r="Q170">
        <f t="shared" si="7"/>
        <v>8300</v>
      </c>
      <c r="R170">
        <f t="shared" si="8"/>
        <v>6944.2782202328226</v>
      </c>
    </row>
    <row r="171" spans="15:18" x14ac:dyDescent="0.2">
      <c r="O171">
        <v>168</v>
      </c>
      <c r="P171">
        <f t="shared" si="6"/>
        <v>11596.551211459395</v>
      </c>
      <c r="Q171">
        <f t="shared" si="7"/>
        <v>8200</v>
      </c>
      <c r="R171">
        <f t="shared" si="8"/>
        <v>6860.6122175794153</v>
      </c>
    </row>
    <row r="172" spans="15:18" x14ac:dyDescent="0.2">
      <c r="O172">
        <v>169</v>
      </c>
      <c r="P172">
        <f t="shared" si="6"/>
        <v>11455.129855222085</v>
      </c>
      <c r="Q172">
        <f t="shared" si="7"/>
        <v>8100</v>
      </c>
      <c r="R172">
        <f t="shared" si="8"/>
        <v>6776.946214926008</v>
      </c>
    </row>
    <row r="173" spans="15:18" x14ac:dyDescent="0.2">
      <c r="O173">
        <v>170</v>
      </c>
      <c r="P173">
        <f t="shared" si="6"/>
        <v>11313.708498984775</v>
      </c>
      <c r="Q173">
        <f t="shared" si="7"/>
        <v>8000</v>
      </c>
      <c r="R173">
        <f t="shared" si="8"/>
        <v>6693.2802122726007</v>
      </c>
    </row>
    <row r="174" spans="15:18" x14ac:dyDescent="0.2">
      <c r="O174">
        <v>171</v>
      </c>
      <c r="P174">
        <f t="shared" si="6"/>
        <v>11172.287142747466</v>
      </c>
      <c r="Q174">
        <f t="shared" si="7"/>
        <v>7900</v>
      </c>
      <c r="R174">
        <f t="shared" si="8"/>
        <v>6609.6142096191934</v>
      </c>
    </row>
    <row r="175" spans="15:18" x14ac:dyDescent="0.2">
      <c r="O175">
        <v>172</v>
      </c>
      <c r="P175">
        <f t="shared" si="6"/>
        <v>11030.865786510156</v>
      </c>
      <c r="Q175">
        <f t="shared" si="7"/>
        <v>7800</v>
      </c>
      <c r="R175">
        <f t="shared" si="8"/>
        <v>6525.9482069657861</v>
      </c>
    </row>
    <row r="176" spans="15:18" x14ac:dyDescent="0.2">
      <c r="O176">
        <v>173</v>
      </c>
      <c r="P176">
        <f t="shared" si="6"/>
        <v>10889.444430272846</v>
      </c>
      <c r="Q176">
        <f t="shared" si="7"/>
        <v>7700</v>
      </c>
      <c r="R176">
        <f t="shared" si="8"/>
        <v>6442.2822043123788</v>
      </c>
    </row>
    <row r="177" spans="15:18" x14ac:dyDescent="0.2">
      <c r="O177">
        <v>174</v>
      </c>
      <c r="P177">
        <f t="shared" si="6"/>
        <v>10748.023074035536</v>
      </c>
      <c r="Q177">
        <f t="shared" si="7"/>
        <v>7600</v>
      </c>
      <c r="R177">
        <f t="shared" si="8"/>
        <v>6358.6162016589715</v>
      </c>
    </row>
    <row r="178" spans="15:18" x14ac:dyDescent="0.2">
      <c r="O178">
        <v>175</v>
      </c>
      <c r="P178">
        <f t="shared" si="6"/>
        <v>10606.601717798227</v>
      </c>
      <c r="Q178">
        <f t="shared" si="7"/>
        <v>7500</v>
      </c>
      <c r="R178">
        <f t="shared" si="8"/>
        <v>6274.9501990055642</v>
      </c>
    </row>
    <row r="179" spans="15:18" x14ac:dyDescent="0.2">
      <c r="O179">
        <v>176</v>
      </c>
      <c r="P179">
        <f t="shared" si="6"/>
        <v>10465.180361560917</v>
      </c>
      <c r="Q179">
        <f t="shared" si="7"/>
        <v>7400</v>
      </c>
      <c r="R179">
        <f t="shared" si="8"/>
        <v>6191.2841963521569</v>
      </c>
    </row>
    <row r="180" spans="15:18" x14ac:dyDescent="0.2">
      <c r="O180">
        <v>177</v>
      </c>
      <c r="P180">
        <f t="shared" si="6"/>
        <v>10323.759005323607</v>
      </c>
      <c r="Q180">
        <f t="shared" si="7"/>
        <v>7300</v>
      </c>
      <c r="R180">
        <f t="shared" si="8"/>
        <v>6107.6181936987496</v>
      </c>
    </row>
    <row r="181" spans="15:18" x14ac:dyDescent="0.2">
      <c r="O181">
        <v>178</v>
      </c>
      <c r="P181">
        <f t="shared" si="6"/>
        <v>10182.337649086297</v>
      </c>
      <c r="Q181">
        <f t="shared" si="7"/>
        <v>7200</v>
      </c>
      <c r="R181">
        <f t="shared" si="8"/>
        <v>6023.9521910453423</v>
      </c>
    </row>
    <row r="182" spans="15:18" x14ac:dyDescent="0.2">
      <c r="O182">
        <v>179</v>
      </c>
      <c r="P182">
        <f t="shared" si="6"/>
        <v>10040.916292848988</v>
      </c>
      <c r="Q182">
        <f t="shared" si="7"/>
        <v>7100</v>
      </c>
      <c r="R182">
        <f t="shared" si="8"/>
        <v>5940.286188391935</v>
      </c>
    </row>
    <row r="183" spans="15:18" x14ac:dyDescent="0.2">
      <c r="O183">
        <v>180</v>
      </c>
      <c r="P183">
        <f t="shared" si="6"/>
        <v>9899.494936611678</v>
      </c>
      <c r="Q183">
        <f t="shared" si="7"/>
        <v>7000</v>
      </c>
      <c r="R183">
        <f t="shared" si="8"/>
        <v>5856.6201857385277</v>
      </c>
    </row>
    <row r="184" spans="15:18" x14ac:dyDescent="0.2">
      <c r="O184">
        <v>181</v>
      </c>
      <c r="P184">
        <f t="shared" si="6"/>
        <v>9758.0735803743682</v>
      </c>
      <c r="Q184">
        <f t="shared" si="7"/>
        <v>6900</v>
      </c>
      <c r="R184">
        <f t="shared" si="8"/>
        <v>5772.9541830851203</v>
      </c>
    </row>
    <row r="185" spans="15:18" x14ac:dyDescent="0.2">
      <c r="O185">
        <v>182</v>
      </c>
      <c r="P185">
        <f t="shared" si="6"/>
        <v>9616.6522241370585</v>
      </c>
      <c r="Q185">
        <f t="shared" si="7"/>
        <v>6800</v>
      </c>
      <c r="R185">
        <f t="shared" si="8"/>
        <v>5689.288180431713</v>
      </c>
    </row>
    <row r="186" spans="15:18" x14ac:dyDescent="0.2">
      <c r="O186">
        <v>183</v>
      </c>
      <c r="P186">
        <f t="shared" si="6"/>
        <v>9475.2308678997488</v>
      </c>
      <c r="Q186">
        <f t="shared" si="7"/>
        <v>6700</v>
      </c>
      <c r="R186">
        <f t="shared" si="8"/>
        <v>5605.6221777783057</v>
      </c>
    </row>
    <row r="187" spans="15:18" x14ac:dyDescent="0.2">
      <c r="O187">
        <v>184</v>
      </c>
      <c r="P187">
        <f t="shared" si="6"/>
        <v>9333.809511662439</v>
      </c>
      <c r="Q187">
        <f t="shared" si="7"/>
        <v>6600</v>
      </c>
      <c r="R187">
        <f t="shared" si="8"/>
        <v>5521.9561751248984</v>
      </c>
    </row>
    <row r="188" spans="15:18" x14ac:dyDescent="0.2">
      <c r="O188">
        <v>185</v>
      </c>
      <c r="P188">
        <f t="shared" si="6"/>
        <v>9192.3881554251293</v>
      </c>
      <c r="Q188">
        <f t="shared" si="7"/>
        <v>6500</v>
      </c>
      <c r="R188">
        <f t="shared" si="8"/>
        <v>5438.2901724714911</v>
      </c>
    </row>
    <row r="189" spans="15:18" x14ac:dyDescent="0.2">
      <c r="O189">
        <v>186</v>
      </c>
      <c r="P189">
        <f t="shared" si="6"/>
        <v>9050.9667991878196</v>
      </c>
      <c r="Q189">
        <f t="shared" si="7"/>
        <v>6400</v>
      </c>
      <c r="R189">
        <f t="shared" si="8"/>
        <v>5354.6241698180838</v>
      </c>
    </row>
    <row r="190" spans="15:18" x14ac:dyDescent="0.2">
      <c r="O190">
        <v>187</v>
      </c>
      <c r="P190">
        <f t="shared" si="6"/>
        <v>8909.5454429505098</v>
      </c>
      <c r="Q190">
        <f t="shared" si="7"/>
        <v>6300</v>
      </c>
      <c r="R190">
        <f t="shared" si="8"/>
        <v>5270.9581671646765</v>
      </c>
    </row>
    <row r="191" spans="15:18" x14ac:dyDescent="0.2">
      <c r="O191">
        <v>188</v>
      </c>
      <c r="P191">
        <f t="shared" si="6"/>
        <v>8768.1240867132001</v>
      </c>
      <c r="Q191">
        <f t="shared" si="7"/>
        <v>6200</v>
      </c>
      <c r="R191">
        <f t="shared" si="8"/>
        <v>5187.2921645112692</v>
      </c>
    </row>
    <row r="192" spans="15:18" x14ac:dyDescent="0.2">
      <c r="O192">
        <v>189</v>
      </c>
      <c r="P192">
        <f t="shared" si="6"/>
        <v>8626.7027304758903</v>
      </c>
      <c r="Q192">
        <f t="shared" si="7"/>
        <v>6100</v>
      </c>
      <c r="R192">
        <f t="shared" si="8"/>
        <v>5103.6261618578619</v>
      </c>
    </row>
    <row r="193" spans="15:18" x14ac:dyDescent="0.2">
      <c r="O193">
        <v>190</v>
      </c>
      <c r="P193">
        <f t="shared" si="6"/>
        <v>8485.2813742385806</v>
      </c>
      <c r="Q193">
        <f t="shared" si="7"/>
        <v>6000</v>
      </c>
      <c r="R193">
        <f t="shared" si="8"/>
        <v>5019.9601592044546</v>
      </c>
    </row>
    <row r="194" spans="15:18" x14ac:dyDescent="0.2">
      <c r="O194">
        <v>191</v>
      </c>
      <c r="P194">
        <f t="shared" si="6"/>
        <v>8343.8600180012709</v>
      </c>
      <c r="Q194">
        <f t="shared" si="7"/>
        <v>5900</v>
      </c>
      <c r="R194">
        <f t="shared" si="8"/>
        <v>4936.2941565510473</v>
      </c>
    </row>
    <row r="195" spans="15:18" x14ac:dyDescent="0.2">
      <c r="O195">
        <v>192</v>
      </c>
      <c r="P195">
        <f t="shared" si="6"/>
        <v>8202.4386617639611</v>
      </c>
      <c r="Q195">
        <f t="shared" si="7"/>
        <v>5800</v>
      </c>
      <c r="R195">
        <f t="shared" si="8"/>
        <v>4852.62815389764</v>
      </c>
    </row>
    <row r="196" spans="15:18" x14ac:dyDescent="0.2">
      <c r="O196">
        <v>193</v>
      </c>
      <c r="P196">
        <f t="shared" si="6"/>
        <v>8061.0173055266514</v>
      </c>
      <c r="Q196">
        <f t="shared" si="7"/>
        <v>5700</v>
      </c>
      <c r="R196">
        <f t="shared" si="8"/>
        <v>4768.9621512442327</v>
      </c>
    </row>
    <row r="197" spans="15:18" x14ac:dyDescent="0.2">
      <c r="O197">
        <v>194</v>
      </c>
      <c r="P197">
        <f t="shared" ref="P197:P260" si="9">IF($O197&lt;=$B$6/2, SQRT($B$3*($O197-$O196))+P196, IF((P196-SQRT($B$3*($O197-$O196)))&lt;0, 0, P196-SQRT($B$3*($O197-$O196))))</f>
        <v>7919.5959492893417</v>
      </c>
      <c r="Q197">
        <f t="shared" ref="Q197:Q260" si="10">IF($O197&lt;=$B$6/2, SQRT($B$4*($O197-$O196))+Q196, IF((Q196-SQRT($B$4*($O197-$O196)))&lt;0, 0, Q196-SQRT($B$4*($O197-$O196))))</f>
        <v>5600</v>
      </c>
      <c r="R197">
        <f t="shared" ref="R197:R260" si="11">IF($O197&lt;=$B$6/2, SQRT($B$5*($O197-$O196))+R196, IF((R196-SQRT($B$5*($O197-$O196)))&lt;0, 0, R196-SQRT($B$5*($O197-$O196))))</f>
        <v>4685.2961485908254</v>
      </c>
    </row>
    <row r="198" spans="15:18" x14ac:dyDescent="0.2">
      <c r="O198">
        <v>195</v>
      </c>
      <c r="P198">
        <f t="shared" si="9"/>
        <v>7778.1745930520319</v>
      </c>
      <c r="Q198">
        <f t="shared" si="10"/>
        <v>5500</v>
      </c>
      <c r="R198">
        <f t="shared" si="11"/>
        <v>4601.6301459374181</v>
      </c>
    </row>
    <row r="199" spans="15:18" x14ac:dyDescent="0.2">
      <c r="O199">
        <v>196</v>
      </c>
      <c r="P199">
        <f t="shared" si="9"/>
        <v>7636.7532368147222</v>
      </c>
      <c r="Q199">
        <f t="shared" si="10"/>
        <v>5400</v>
      </c>
      <c r="R199">
        <f t="shared" si="11"/>
        <v>4517.9641432840108</v>
      </c>
    </row>
    <row r="200" spans="15:18" x14ac:dyDescent="0.2">
      <c r="O200">
        <v>197</v>
      </c>
      <c r="P200">
        <f t="shared" si="9"/>
        <v>7495.3318805774124</v>
      </c>
      <c r="Q200">
        <f t="shared" si="10"/>
        <v>5300</v>
      </c>
      <c r="R200">
        <f t="shared" si="11"/>
        <v>4434.2981406306035</v>
      </c>
    </row>
    <row r="201" spans="15:18" x14ac:dyDescent="0.2">
      <c r="O201">
        <v>198</v>
      </c>
      <c r="P201">
        <f t="shared" si="9"/>
        <v>7353.9105243401027</v>
      </c>
      <c r="Q201">
        <f t="shared" si="10"/>
        <v>5200</v>
      </c>
      <c r="R201">
        <f t="shared" si="11"/>
        <v>4350.6321379771962</v>
      </c>
    </row>
    <row r="202" spans="15:18" x14ac:dyDescent="0.2">
      <c r="O202">
        <v>199</v>
      </c>
      <c r="P202">
        <f t="shared" si="9"/>
        <v>7212.489168102793</v>
      </c>
      <c r="Q202">
        <f t="shared" si="10"/>
        <v>5100</v>
      </c>
      <c r="R202">
        <f t="shared" si="11"/>
        <v>4266.9661353237889</v>
      </c>
    </row>
    <row r="203" spans="15:18" x14ac:dyDescent="0.2">
      <c r="O203">
        <v>200</v>
      </c>
      <c r="P203">
        <f t="shared" si="9"/>
        <v>7071.0678118654832</v>
      </c>
      <c r="Q203">
        <f t="shared" si="10"/>
        <v>5000</v>
      </c>
      <c r="R203">
        <f t="shared" si="11"/>
        <v>4183.3001326703816</v>
      </c>
    </row>
    <row r="204" spans="15:18" x14ac:dyDescent="0.2">
      <c r="O204">
        <v>201</v>
      </c>
      <c r="P204">
        <f t="shared" si="9"/>
        <v>6929.6464556281735</v>
      </c>
      <c r="Q204">
        <f t="shared" si="10"/>
        <v>4900</v>
      </c>
      <c r="R204">
        <f t="shared" si="11"/>
        <v>4099.6341300169743</v>
      </c>
    </row>
    <row r="205" spans="15:18" x14ac:dyDescent="0.2">
      <c r="O205">
        <v>202</v>
      </c>
      <c r="P205">
        <f t="shared" si="9"/>
        <v>6788.2250993908638</v>
      </c>
      <c r="Q205">
        <f t="shared" si="10"/>
        <v>4800</v>
      </c>
      <c r="R205">
        <f t="shared" si="11"/>
        <v>4015.9681273635665</v>
      </c>
    </row>
    <row r="206" spans="15:18" x14ac:dyDescent="0.2">
      <c r="O206">
        <v>203</v>
      </c>
      <c r="P206">
        <f t="shared" si="9"/>
        <v>6646.803743153554</v>
      </c>
      <c r="Q206">
        <f t="shared" si="10"/>
        <v>4700</v>
      </c>
      <c r="R206">
        <f t="shared" si="11"/>
        <v>3932.3021247101588</v>
      </c>
    </row>
    <row r="207" spans="15:18" x14ac:dyDescent="0.2">
      <c r="O207">
        <v>204</v>
      </c>
      <c r="P207">
        <f t="shared" si="9"/>
        <v>6505.3823869162443</v>
      </c>
      <c r="Q207">
        <f t="shared" si="10"/>
        <v>4600</v>
      </c>
      <c r="R207">
        <f t="shared" si="11"/>
        <v>3848.636122056751</v>
      </c>
    </row>
    <row r="208" spans="15:18" x14ac:dyDescent="0.2">
      <c r="O208">
        <v>205</v>
      </c>
      <c r="P208">
        <f t="shared" si="9"/>
        <v>6363.9610306789345</v>
      </c>
      <c r="Q208">
        <f t="shared" si="10"/>
        <v>4500</v>
      </c>
      <c r="R208">
        <f t="shared" si="11"/>
        <v>3764.9701194033432</v>
      </c>
    </row>
    <row r="209" spans="15:18" x14ac:dyDescent="0.2">
      <c r="O209">
        <v>206</v>
      </c>
      <c r="P209">
        <f t="shared" si="9"/>
        <v>6222.5396744416248</v>
      </c>
      <c r="Q209">
        <f t="shared" si="10"/>
        <v>4400</v>
      </c>
      <c r="R209">
        <f t="shared" si="11"/>
        <v>3681.3041167499355</v>
      </c>
    </row>
    <row r="210" spans="15:18" x14ac:dyDescent="0.2">
      <c r="O210">
        <v>207</v>
      </c>
      <c r="P210">
        <f t="shared" si="9"/>
        <v>6081.1183182043151</v>
      </c>
      <c r="Q210">
        <f t="shared" si="10"/>
        <v>4300</v>
      </c>
      <c r="R210">
        <f t="shared" si="11"/>
        <v>3597.6381140965277</v>
      </c>
    </row>
    <row r="211" spans="15:18" x14ac:dyDescent="0.2">
      <c r="O211">
        <v>208</v>
      </c>
      <c r="P211">
        <f t="shared" si="9"/>
        <v>5939.6969619670053</v>
      </c>
      <c r="Q211">
        <f t="shared" si="10"/>
        <v>4200</v>
      </c>
      <c r="R211">
        <f t="shared" si="11"/>
        <v>3513.97211144312</v>
      </c>
    </row>
    <row r="212" spans="15:18" x14ac:dyDescent="0.2">
      <c r="O212">
        <v>209</v>
      </c>
      <c r="P212">
        <f t="shared" si="9"/>
        <v>5798.2756057296956</v>
      </c>
      <c r="Q212">
        <f t="shared" si="10"/>
        <v>4100</v>
      </c>
      <c r="R212">
        <f t="shared" si="11"/>
        <v>3430.3061087897122</v>
      </c>
    </row>
    <row r="213" spans="15:18" x14ac:dyDescent="0.2">
      <c r="O213">
        <v>210</v>
      </c>
      <c r="P213">
        <f t="shared" si="9"/>
        <v>5656.8542494923859</v>
      </c>
      <c r="Q213">
        <f t="shared" si="10"/>
        <v>4000</v>
      </c>
      <c r="R213">
        <f t="shared" si="11"/>
        <v>3346.6401061363044</v>
      </c>
    </row>
    <row r="214" spans="15:18" x14ac:dyDescent="0.2">
      <c r="O214">
        <v>211</v>
      </c>
      <c r="P214">
        <f t="shared" si="9"/>
        <v>5515.4328932550761</v>
      </c>
      <c r="Q214">
        <f t="shared" si="10"/>
        <v>3900</v>
      </c>
      <c r="R214">
        <f t="shared" si="11"/>
        <v>3262.9741034828967</v>
      </c>
    </row>
    <row r="215" spans="15:18" x14ac:dyDescent="0.2">
      <c r="O215">
        <v>212</v>
      </c>
      <c r="P215">
        <f t="shared" si="9"/>
        <v>5374.0115370177664</v>
      </c>
      <c r="Q215">
        <f t="shared" si="10"/>
        <v>3800</v>
      </c>
      <c r="R215">
        <f t="shared" si="11"/>
        <v>3179.3081008294889</v>
      </c>
    </row>
    <row r="216" spans="15:18" x14ac:dyDescent="0.2">
      <c r="O216">
        <v>213</v>
      </c>
      <c r="P216">
        <f t="shared" si="9"/>
        <v>5232.5901807804566</v>
      </c>
      <c r="Q216">
        <f t="shared" si="10"/>
        <v>3700</v>
      </c>
      <c r="R216">
        <f t="shared" si="11"/>
        <v>3095.6420981760812</v>
      </c>
    </row>
    <row r="217" spans="15:18" x14ac:dyDescent="0.2">
      <c r="O217">
        <v>214</v>
      </c>
      <c r="P217">
        <f t="shared" si="9"/>
        <v>5091.1688245431469</v>
      </c>
      <c r="Q217">
        <f t="shared" si="10"/>
        <v>3600</v>
      </c>
      <c r="R217">
        <f t="shared" si="11"/>
        <v>3011.9760955226734</v>
      </c>
    </row>
    <row r="218" spans="15:18" x14ac:dyDescent="0.2">
      <c r="O218">
        <v>215</v>
      </c>
      <c r="P218">
        <f t="shared" si="9"/>
        <v>4949.7474683058372</v>
      </c>
      <c r="Q218">
        <f t="shared" si="10"/>
        <v>3500</v>
      </c>
      <c r="R218">
        <f t="shared" si="11"/>
        <v>2928.3100928692656</v>
      </c>
    </row>
    <row r="219" spans="15:18" x14ac:dyDescent="0.2">
      <c r="O219">
        <v>216</v>
      </c>
      <c r="P219">
        <f t="shared" si="9"/>
        <v>4808.3261120685274</v>
      </c>
      <c r="Q219">
        <f t="shared" si="10"/>
        <v>3400</v>
      </c>
      <c r="R219">
        <f t="shared" si="11"/>
        <v>2844.6440902158579</v>
      </c>
    </row>
    <row r="220" spans="15:18" x14ac:dyDescent="0.2">
      <c r="O220">
        <v>217</v>
      </c>
      <c r="P220">
        <f t="shared" si="9"/>
        <v>4666.9047558312177</v>
      </c>
      <c r="Q220">
        <f t="shared" si="10"/>
        <v>3300</v>
      </c>
      <c r="R220">
        <f t="shared" si="11"/>
        <v>2760.9780875624501</v>
      </c>
    </row>
    <row r="221" spans="15:18" x14ac:dyDescent="0.2">
      <c r="O221">
        <v>218</v>
      </c>
      <c r="P221">
        <f t="shared" si="9"/>
        <v>4525.483399593908</v>
      </c>
      <c r="Q221">
        <f t="shared" si="10"/>
        <v>3200</v>
      </c>
      <c r="R221">
        <f t="shared" si="11"/>
        <v>2677.3120849090424</v>
      </c>
    </row>
    <row r="222" spans="15:18" x14ac:dyDescent="0.2">
      <c r="O222">
        <v>219</v>
      </c>
      <c r="P222">
        <f t="shared" si="9"/>
        <v>4384.0620433565982</v>
      </c>
      <c r="Q222">
        <f t="shared" si="10"/>
        <v>3100</v>
      </c>
      <c r="R222">
        <f t="shared" si="11"/>
        <v>2593.6460822556346</v>
      </c>
    </row>
    <row r="223" spans="15:18" x14ac:dyDescent="0.2">
      <c r="O223">
        <v>220</v>
      </c>
      <c r="P223">
        <f t="shared" si="9"/>
        <v>4242.6406871192885</v>
      </c>
      <c r="Q223">
        <f t="shared" si="10"/>
        <v>3000</v>
      </c>
      <c r="R223">
        <f t="shared" si="11"/>
        <v>2509.9800796022269</v>
      </c>
    </row>
    <row r="224" spans="15:18" x14ac:dyDescent="0.2">
      <c r="O224">
        <v>221</v>
      </c>
      <c r="P224">
        <f t="shared" si="9"/>
        <v>4101.2193308819787</v>
      </c>
      <c r="Q224">
        <f t="shared" si="10"/>
        <v>2900</v>
      </c>
      <c r="R224">
        <f t="shared" si="11"/>
        <v>2426.3140769488191</v>
      </c>
    </row>
    <row r="225" spans="15:18" x14ac:dyDescent="0.2">
      <c r="O225">
        <v>222</v>
      </c>
      <c r="P225">
        <f t="shared" si="9"/>
        <v>3959.797974644669</v>
      </c>
      <c r="Q225">
        <f t="shared" si="10"/>
        <v>2800</v>
      </c>
      <c r="R225">
        <f t="shared" si="11"/>
        <v>2342.6480742954113</v>
      </c>
    </row>
    <row r="226" spans="15:18" x14ac:dyDescent="0.2">
      <c r="O226">
        <v>223</v>
      </c>
      <c r="P226">
        <f t="shared" si="9"/>
        <v>3818.3766184073593</v>
      </c>
      <c r="Q226">
        <f t="shared" si="10"/>
        <v>2700</v>
      </c>
      <c r="R226">
        <f t="shared" si="11"/>
        <v>2258.9820716420036</v>
      </c>
    </row>
    <row r="227" spans="15:18" x14ac:dyDescent="0.2">
      <c r="O227">
        <v>224</v>
      </c>
      <c r="P227">
        <f t="shared" si="9"/>
        <v>3676.9552621700495</v>
      </c>
      <c r="Q227">
        <f t="shared" si="10"/>
        <v>2600</v>
      </c>
      <c r="R227">
        <f t="shared" si="11"/>
        <v>2175.3160689885958</v>
      </c>
    </row>
    <row r="228" spans="15:18" x14ac:dyDescent="0.2">
      <c r="O228">
        <v>225</v>
      </c>
      <c r="P228">
        <f t="shared" si="9"/>
        <v>3535.5339059327398</v>
      </c>
      <c r="Q228">
        <f t="shared" si="10"/>
        <v>2500</v>
      </c>
      <c r="R228">
        <f t="shared" si="11"/>
        <v>2091.6500663351881</v>
      </c>
    </row>
    <row r="229" spans="15:18" x14ac:dyDescent="0.2">
      <c r="O229">
        <v>226</v>
      </c>
      <c r="P229">
        <f t="shared" si="9"/>
        <v>3394.1125496954301</v>
      </c>
      <c r="Q229">
        <f t="shared" si="10"/>
        <v>2400</v>
      </c>
      <c r="R229">
        <f t="shared" si="11"/>
        <v>2007.9840636817805</v>
      </c>
    </row>
    <row r="230" spans="15:18" x14ac:dyDescent="0.2">
      <c r="O230">
        <v>227</v>
      </c>
      <c r="P230">
        <f t="shared" si="9"/>
        <v>3252.6911934581203</v>
      </c>
      <c r="Q230">
        <f t="shared" si="10"/>
        <v>2300</v>
      </c>
      <c r="R230">
        <f t="shared" si="11"/>
        <v>1924.318061028373</v>
      </c>
    </row>
    <row r="231" spans="15:18" x14ac:dyDescent="0.2">
      <c r="O231">
        <v>228</v>
      </c>
      <c r="P231">
        <f t="shared" si="9"/>
        <v>3111.2698372208106</v>
      </c>
      <c r="Q231">
        <f t="shared" si="10"/>
        <v>2200</v>
      </c>
      <c r="R231">
        <f t="shared" si="11"/>
        <v>1840.6520583749655</v>
      </c>
    </row>
    <row r="232" spans="15:18" x14ac:dyDescent="0.2">
      <c r="O232">
        <v>229</v>
      </c>
      <c r="P232">
        <f t="shared" si="9"/>
        <v>2969.8484809835008</v>
      </c>
      <c r="Q232">
        <f t="shared" si="10"/>
        <v>2100</v>
      </c>
      <c r="R232">
        <f t="shared" si="11"/>
        <v>1756.9860557215579</v>
      </c>
    </row>
    <row r="233" spans="15:18" x14ac:dyDescent="0.2">
      <c r="O233">
        <v>230</v>
      </c>
      <c r="P233">
        <f t="shared" si="9"/>
        <v>2828.4271247461911</v>
      </c>
      <c r="Q233">
        <f t="shared" si="10"/>
        <v>2000</v>
      </c>
      <c r="R233">
        <f t="shared" si="11"/>
        <v>1673.3200530681504</v>
      </c>
    </row>
    <row r="234" spans="15:18" x14ac:dyDescent="0.2">
      <c r="O234">
        <v>231</v>
      </c>
      <c r="P234">
        <f t="shared" si="9"/>
        <v>2687.0057685088814</v>
      </c>
      <c r="Q234">
        <f t="shared" si="10"/>
        <v>1900</v>
      </c>
      <c r="R234">
        <f t="shared" si="11"/>
        <v>1589.6540504147429</v>
      </c>
    </row>
    <row r="235" spans="15:18" x14ac:dyDescent="0.2">
      <c r="O235">
        <v>232</v>
      </c>
      <c r="P235">
        <f t="shared" si="9"/>
        <v>2545.5844122715716</v>
      </c>
      <c r="Q235">
        <f t="shared" si="10"/>
        <v>1800</v>
      </c>
      <c r="R235">
        <f t="shared" si="11"/>
        <v>1505.9880477613353</v>
      </c>
    </row>
    <row r="236" spans="15:18" x14ac:dyDescent="0.2">
      <c r="O236">
        <v>233</v>
      </c>
      <c r="P236">
        <f t="shared" si="9"/>
        <v>2404.1630560342619</v>
      </c>
      <c r="Q236">
        <f t="shared" si="10"/>
        <v>1700</v>
      </c>
      <c r="R236">
        <f t="shared" si="11"/>
        <v>1422.3220451079278</v>
      </c>
    </row>
    <row r="237" spans="15:18" x14ac:dyDescent="0.2">
      <c r="O237">
        <v>234</v>
      </c>
      <c r="P237">
        <f t="shared" si="9"/>
        <v>2262.7416997969522</v>
      </c>
      <c r="Q237">
        <f t="shared" si="10"/>
        <v>1600</v>
      </c>
      <c r="R237">
        <f t="shared" si="11"/>
        <v>1338.6560424545203</v>
      </c>
    </row>
    <row r="238" spans="15:18" x14ac:dyDescent="0.2">
      <c r="O238">
        <v>235</v>
      </c>
      <c r="P238">
        <f t="shared" si="9"/>
        <v>2121.3203435596424</v>
      </c>
      <c r="Q238">
        <f t="shared" si="10"/>
        <v>1500</v>
      </c>
      <c r="R238">
        <f t="shared" si="11"/>
        <v>1254.9900398011127</v>
      </c>
    </row>
    <row r="239" spans="15:18" x14ac:dyDescent="0.2">
      <c r="O239">
        <v>236</v>
      </c>
      <c r="P239">
        <f t="shared" si="9"/>
        <v>1979.8989873223329</v>
      </c>
      <c r="Q239">
        <f t="shared" si="10"/>
        <v>1400</v>
      </c>
      <c r="R239">
        <f t="shared" si="11"/>
        <v>1171.3240371477052</v>
      </c>
    </row>
    <row r="240" spans="15:18" x14ac:dyDescent="0.2">
      <c r="O240">
        <v>237</v>
      </c>
      <c r="P240">
        <f t="shared" si="9"/>
        <v>1838.4776310850234</v>
      </c>
      <c r="Q240">
        <f t="shared" si="10"/>
        <v>1300</v>
      </c>
      <c r="R240">
        <f t="shared" si="11"/>
        <v>1087.6580344942977</v>
      </c>
    </row>
    <row r="241" spans="15:18" x14ac:dyDescent="0.2">
      <c r="O241">
        <v>238</v>
      </c>
      <c r="P241">
        <f t="shared" si="9"/>
        <v>1697.0562748477139</v>
      </c>
      <c r="Q241">
        <f t="shared" si="10"/>
        <v>1200</v>
      </c>
      <c r="R241">
        <f t="shared" si="11"/>
        <v>1003.9920318408901</v>
      </c>
    </row>
    <row r="242" spans="15:18" x14ac:dyDescent="0.2">
      <c r="O242">
        <v>239</v>
      </c>
      <c r="P242">
        <f t="shared" si="9"/>
        <v>1555.6349186104044</v>
      </c>
      <c r="Q242">
        <f t="shared" si="10"/>
        <v>1100</v>
      </c>
      <c r="R242">
        <f t="shared" si="11"/>
        <v>920.32602918748262</v>
      </c>
    </row>
    <row r="243" spans="15:18" x14ac:dyDescent="0.2">
      <c r="O243">
        <v>240</v>
      </c>
      <c r="P243">
        <f t="shared" si="9"/>
        <v>1414.2135623730949</v>
      </c>
      <c r="Q243">
        <f t="shared" si="10"/>
        <v>1000</v>
      </c>
      <c r="R243">
        <f t="shared" si="11"/>
        <v>836.66002653407509</v>
      </c>
    </row>
    <row r="244" spans="15:18" x14ac:dyDescent="0.2">
      <c r="O244">
        <v>241</v>
      </c>
      <c r="P244">
        <f t="shared" si="9"/>
        <v>1272.7922061357854</v>
      </c>
      <c r="Q244">
        <f t="shared" si="10"/>
        <v>900</v>
      </c>
      <c r="R244">
        <f t="shared" si="11"/>
        <v>752.99402388066756</v>
      </c>
    </row>
    <row r="245" spans="15:18" x14ac:dyDescent="0.2">
      <c r="O245">
        <v>242</v>
      </c>
      <c r="P245">
        <f t="shared" si="9"/>
        <v>1131.3708498984759</v>
      </c>
      <c r="Q245">
        <f t="shared" si="10"/>
        <v>800</v>
      </c>
      <c r="R245">
        <f t="shared" si="11"/>
        <v>669.32802122726002</v>
      </c>
    </row>
    <row r="246" spans="15:18" x14ac:dyDescent="0.2">
      <c r="O246">
        <v>243</v>
      </c>
      <c r="P246">
        <f t="shared" si="9"/>
        <v>989.94949366116634</v>
      </c>
      <c r="Q246">
        <f t="shared" si="10"/>
        <v>700</v>
      </c>
      <c r="R246">
        <f t="shared" si="11"/>
        <v>585.66201857385249</v>
      </c>
    </row>
    <row r="247" spans="15:18" x14ac:dyDescent="0.2">
      <c r="O247">
        <v>244</v>
      </c>
      <c r="P247">
        <f t="shared" si="9"/>
        <v>848.52813742385683</v>
      </c>
      <c r="Q247">
        <f t="shared" si="10"/>
        <v>600</v>
      </c>
      <c r="R247">
        <f t="shared" si="11"/>
        <v>501.99601592044496</v>
      </c>
    </row>
    <row r="248" spans="15:18" x14ac:dyDescent="0.2">
      <c r="O248">
        <v>245</v>
      </c>
      <c r="P248">
        <f t="shared" si="9"/>
        <v>707.10678118654732</v>
      </c>
      <c r="Q248">
        <f t="shared" si="10"/>
        <v>500</v>
      </c>
      <c r="R248">
        <f t="shared" si="11"/>
        <v>418.33001326703743</v>
      </c>
    </row>
    <row r="249" spans="15:18" x14ac:dyDescent="0.2">
      <c r="O249">
        <v>246</v>
      </c>
      <c r="P249">
        <f t="shared" si="9"/>
        <v>565.68542494923781</v>
      </c>
      <c r="Q249">
        <f t="shared" si="10"/>
        <v>400</v>
      </c>
      <c r="R249">
        <f t="shared" si="11"/>
        <v>334.6640106136299</v>
      </c>
    </row>
    <row r="250" spans="15:18" x14ac:dyDescent="0.2">
      <c r="O250">
        <v>247</v>
      </c>
      <c r="P250">
        <f t="shared" si="9"/>
        <v>424.2640687119283</v>
      </c>
      <c r="Q250">
        <f t="shared" si="10"/>
        <v>300</v>
      </c>
      <c r="R250">
        <f t="shared" si="11"/>
        <v>250.99800796022234</v>
      </c>
    </row>
    <row r="251" spans="15:18" x14ac:dyDescent="0.2">
      <c r="O251">
        <v>248</v>
      </c>
      <c r="P251">
        <f t="shared" si="9"/>
        <v>282.84271247461879</v>
      </c>
      <c r="Q251">
        <f t="shared" si="10"/>
        <v>200</v>
      </c>
      <c r="R251">
        <f t="shared" si="11"/>
        <v>167.33200530681478</v>
      </c>
    </row>
    <row r="252" spans="15:18" x14ac:dyDescent="0.2">
      <c r="O252">
        <v>249</v>
      </c>
      <c r="P252">
        <f t="shared" si="9"/>
        <v>141.42135623730928</v>
      </c>
      <c r="Q252">
        <f t="shared" si="10"/>
        <v>100</v>
      </c>
      <c r="R252">
        <f t="shared" si="11"/>
        <v>83.666002653407219</v>
      </c>
    </row>
    <row r="253" spans="15:18" x14ac:dyDescent="0.2">
      <c r="O253">
        <v>250</v>
      </c>
      <c r="P253">
        <f t="shared" si="9"/>
        <v>0</v>
      </c>
      <c r="Q253">
        <f t="shared" si="10"/>
        <v>0</v>
      </c>
      <c r="R253">
        <f t="shared" si="11"/>
        <v>0</v>
      </c>
    </row>
    <row r="254" spans="15:18" x14ac:dyDescent="0.2">
      <c r="O254">
        <v>251</v>
      </c>
      <c r="P254">
        <f t="shared" si="9"/>
        <v>0</v>
      </c>
      <c r="Q254">
        <f t="shared" si="10"/>
        <v>0</v>
      </c>
      <c r="R254">
        <f t="shared" si="11"/>
        <v>0</v>
      </c>
    </row>
    <row r="255" spans="15:18" x14ac:dyDescent="0.2">
      <c r="O255">
        <v>252</v>
      </c>
      <c r="P255">
        <f t="shared" si="9"/>
        <v>0</v>
      </c>
      <c r="Q255">
        <f t="shared" si="10"/>
        <v>0</v>
      </c>
      <c r="R255">
        <f t="shared" si="11"/>
        <v>0</v>
      </c>
    </row>
    <row r="256" spans="15:18" x14ac:dyDescent="0.2">
      <c r="O256">
        <v>253</v>
      </c>
      <c r="P256">
        <f t="shared" si="9"/>
        <v>0</v>
      </c>
      <c r="Q256">
        <f t="shared" si="10"/>
        <v>0</v>
      </c>
      <c r="R256">
        <f t="shared" si="11"/>
        <v>0</v>
      </c>
    </row>
    <row r="257" spans="15:18" x14ac:dyDescent="0.2">
      <c r="O257">
        <v>254</v>
      </c>
      <c r="P257">
        <f t="shared" si="9"/>
        <v>0</v>
      </c>
      <c r="Q257">
        <f t="shared" si="10"/>
        <v>0</v>
      </c>
      <c r="R257">
        <f t="shared" si="11"/>
        <v>0</v>
      </c>
    </row>
    <row r="258" spans="15:18" x14ac:dyDescent="0.2">
      <c r="O258">
        <v>255</v>
      </c>
      <c r="P258">
        <f t="shared" si="9"/>
        <v>0</v>
      </c>
      <c r="Q258">
        <f t="shared" si="10"/>
        <v>0</v>
      </c>
      <c r="R258">
        <f t="shared" si="11"/>
        <v>0</v>
      </c>
    </row>
    <row r="259" spans="15:18" x14ac:dyDescent="0.2">
      <c r="O259">
        <v>256</v>
      </c>
      <c r="P259">
        <f t="shared" si="9"/>
        <v>0</v>
      </c>
      <c r="Q259">
        <f t="shared" si="10"/>
        <v>0</v>
      </c>
      <c r="R259">
        <f t="shared" si="11"/>
        <v>0</v>
      </c>
    </row>
    <row r="260" spans="15:18" x14ac:dyDescent="0.2">
      <c r="O260">
        <v>257</v>
      </c>
      <c r="P260">
        <f t="shared" si="9"/>
        <v>0</v>
      </c>
      <c r="Q260">
        <f t="shared" si="10"/>
        <v>0</v>
      </c>
      <c r="R260">
        <f t="shared" si="11"/>
        <v>0</v>
      </c>
    </row>
    <row r="261" spans="15:18" x14ac:dyDescent="0.2">
      <c r="O261">
        <v>258</v>
      </c>
      <c r="P261">
        <f t="shared" ref="P261:P324" si="12">IF($O261&lt;=$B$6/2, SQRT($B$3*($O261-$O260))+P260, IF((P260-SQRT($B$3*($O261-$O260)))&lt;0, 0, P260-SQRT($B$3*($O261-$O260))))</f>
        <v>0</v>
      </c>
      <c r="Q261">
        <f t="shared" ref="Q261:Q324" si="13">IF($O261&lt;=$B$6/2, SQRT($B$4*($O261-$O260))+Q260, IF((Q260-SQRT($B$4*($O261-$O260)))&lt;0, 0, Q260-SQRT($B$4*($O261-$O260))))</f>
        <v>0</v>
      </c>
      <c r="R261">
        <f t="shared" ref="R261:R324" si="14">IF($O261&lt;=$B$6/2, SQRT($B$5*($O261-$O260))+R260, IF((R260-SQRT($B$5*($O261-$O260)))&lt;0, 0, R260-SQRT($B$5*($O261-$O260))))</f>
        <v>0</v>
      </c>
    </row>
    <row r="262" spans="15:18" x14ac:dyDescent="0.2">
      <c r="O262">
        <v>259</v>
      </c>
      <c r="P262">
        <f t="shared" si="12"/>
        <v>0</v>
      </c>
      <c r="Q262">
        <f t="shared" si="13"/>
        <v>0</v>
      </c>
      <c r="R262">
        <f t="shared" si="14"/>
        <v>0</v>
      </c>
    </row>
    <row r="263" spans="15:18" x14ac:dyDescent="0.2">
      <c r="O263">
        <v>260</v>
      </c>
      <c r="P263">
        <f t="shared" si="12"/>
        <v>0</v>
      </c>
      <c r="Q263">
        <f t="shared" si="13"/>
        <v>0</v>
      </c>
      <c r="R263">
        <f t="shared" si="14"/>
        <v>0</v>
      </c>
    </row>
    <row r="264" spans="15:18" x14ac:dyDescent="0.2">
      <c r="O264">
        <v>261</v>
      </c>
      <c r="P264">
        <f t="shared" si="12"/>
        <v>0</v>
      </c>
      <c r="Q264">
        <f t="shared" si="13"/>
        <v>0</v>
      </c>
      <c r="R264">
        <f t="shared" si="14"/>
        <v>0</v>
      </c>
    </row>
    <row r="265" spans="15:18" x14ac:dyDescent="0.2">
      <c r="O265">
        <v>262</v>
      </c>
      <c r="P265">
        <f t="shared" si="12"/>
        <v>0</v>
      </c>
      <c r="Q265">
        <f t="shared" si="13"/>
        <v>0</v>
      </c>
      <c r="R265">
        <f t="shared" si="14"/>
        <v>0</v>
      </c>
    </row>
    <row r="266" spans="15:18" x14ac:dyDescent="0.2">
      <c r="O266">
        <v>263</v>
      </c>
      <c r="P266">
        <f t="shared" si="12"/>
        <v>0</v>
      </c>
      <c r="Q266">
        <f t="shared" si="13"/>
        <v>0</v>
      </c>
      <c r="R266">
        <f t="shared" si="14"/>
        <v>0</v>
      </c>
    </row>
    <row r="267" spans="15:18" x14ac:dyDescent="0.2">
      <c r="O267">
        <v>264</v>
      </c>
      <c r="P267">
        <f t="shared" si="12"/>
        <v>0</v>
      </c>
      <c r="Q267">
        <f t="shared" si="13"/>
        <v>0</v>
      </c>
      <c r="R267">
        <f t="shared" si="14"/>
        <v>0</v>
      </c>
    </row>
    <row r="268" spans="15:18" x14ac:dyDescent="0.2">
      <c r="O268">
        <v>265</v>
      </c>
      <c r="P268">
        <f t="shared" si="12"/>
        <v>0</v>
      </c>
      <c r="Q268">
        <f t="shared" si="13"/>
        <v>0</v>
      </c>
      <c r="R268">
        <f t="shared" si="14"/>
        <v>0</v>
      </c>
    </row>
    <row r="269" spans="15:18" x14ac:dyDescent="0.2">
      <c r="O269">
        <v>266</v>
      </c>
      <c r="P269">
        <f t="shared" si="12"/>
        <v>0</v>
      </c>
      <c r="Q269">
        <f t="shared" si="13"/>
        <v>0</v>
      </c>
      <c r="R269">
        <f t="shared" si="14"/>
        <v>0</v>
      </c>
    </row>
    <row r="270" spans="15:18" x14ac:dyDescent="0.2">
      <c r="O270">
        <v>267</v>
      </c>
      <c r="P270">
        <f t="shared" si="12"/>
        <v>0</v>
      </c>
      <c r="Q270">
        <f t="shared" si="13"/>
        <v>0</v>
      </c>
      <c r="R270">
        <f t="shared" si="14"/>
        <v>0</v>
      </c>
    </row>
    <row r="271" spans="15:18" x14ac:dyDescent="0.2">
      <c r="O271">
        <v>268</v>
      </c>
      <c r="P271">
        <f t="shared" si="12"/>
        <v>0</v>
      </c>
      <c r="Q271">
        <f t="shared" si="13"/>
        <v>0</v>
      </c>
      <c r="R271">
        <f t="shared" si="14"/>
        <v>0</v>
      </c>
    </row>
    <row r="272" spans="15:18" x14ac:dyDescent="0.2">
      <c r="O272">
        <v>269</v>
      </c>
      <c r="P272">
        <f t="shared" si="12"/>
        <v>0</v>
      </c>
      <c r="Q272">
        <f t="shared" si="13"/>
        <v>0</v>
      </c>
      <c r="R272">
        <f t="shared" si="14"/>
        <v>0</v>
      </c>
    </row>
    <row r="273" spans="15:18" x14ac:dyDescent="0.2">
      <c r="O273">
        <v>270</v>
      </c>
      <c r="P273">
        <f t="shared" si="12"/>
        <v>0</v>
      </c>
      <c r="Q273">
        <f t="shared" si="13"/>
        <v>0</v>
      </c>
      <c r="R273">
        <f t="shared" si="14"/>
        <v>0</v>
      </c>
    </row>
    <row r="274" spans="15:18" x14ac:dyDescent="0.2">
      <c r="O274">
        <v>271</v>
      </c>
      <c r="P274">
        <f t="shared" si="12"/>
        <v>0</v>
      </c>
      <c r="Q274">
        <f t="shared" si="13"/>
        <v>0</v>
      </c>
      <c r="R274">
        <f t="shared" si="14"/>
        <v>0</v>
      </c>
    </row>
    <row r="275" spans="15:18" x14ac:dyDescent="0.2">
      <c r="O275">
        <v>272</v>
      </c>
      <c r="P275">
        <f t="shared" si="12"/>
        <v>0</v>
      </c>
      <c r="Q275">
        <f t="shared" si="13"/>
        <v>0</v>
      </c>
      <c r="R275">
        <f t="shared" si="14"/>
        <v>0</v>
      </c>
    </row>
    <row r="276" spans="15:18" x14ac:dyDescent="0.2">
      <c r="O276">
        <v>273</v>
      </c>
      <c r="P276">
        <f t="shared" si="12"/>
        <v>0</v>
      </c>
      <c r="Q276">
        <f t="shared" si="13"/>
        <v>0</v>
      </c>
      <c r="R276">
        <f t="shared" si="14"/>
        <v>0</v>
      </c>
    </row>
    <row r="277" spans="15:18" x14ac:dyDescent="0.2">
      <c r="O277">
        <v>274</v>
      </c>
      <c r="P277">
        <f t="shared" si="12"/>
        <v>0</v>
      </c>
      <c r="Q277">
        <f t="shared" si="13"/>
        <v>0</v>
      </c>
      <c r="R277">
        <f t="shared" si="14"/>
        <v>0</v>
      </c>
    </row>
    <row r="278" spans="15:18" x14ac:dyDescent="0.2">
      <c r="O278">
        <v>275</v>
      </c>
      <c r="P278">
        <f t="shared" si="12"/>
        <v>0</v>
      </c>
      <c r="Q278">
        <f t="shared" si="13"/>
        <v>0</v>
      </c>
      <c r="R278">
        <f t="shared" si="14"/>
        <v>0</v>
      </c>
    </row>
    <row r="279" spans="15:18" x14ac:dyDescent="0.2">
      <c r="O279">
        <v>276</v>
      </c>
      <c r="P279">
        <f t="shared" si="12"/>
        <v>0</v>
      </c>
      <c r="Q279">
        <f t="shared" si="13"/>
        <v>0</v>
      </c>
      <c r="R279">
        <f t="shared" si="14"/>
        <v>0</v>
      </c>
    </row>
    <row r="280" spans="15:18" x14ac:dyDescent="0.2">
      <c r="O280">
        <v>277</v>
      </c>
      <c r="P280">
        <f t="shared" si="12"/>
        <v>0</v>
      </c>
      <c r="Q280">
        <f t="shared" si="13"/>
        <v>0</v>
      </c>
      <c r="R280">
        <f t="shared" si="14"/>
        <v>0</v>
      </c>
    </row>
    <row r="281" spans="15:18" x14ac:dyDescent="0.2">
      <c r="O281">
        <v>278</v>
      </c>
      <c r="P281">
        <f t="shared" si="12"/>
        <v>0</v>
      </c>
      <c r="Q281">
        <f t="shared" si="13"/>
        <v>0</v>
      </c>
      <c r="R281">
        <f t="shared" si="14"/>
        <v>0</v>
      </c>
    </row>
    <row r="282" spans="15:18" x14ac:dyDescent="0.2">
      <c r="O282">
        <v>279</v>
      </c>
      <c r="P282">
        <f t="shared" si="12"/>
        <v>0</v>
      </c>
      <c r="Q282">
        <f t="shared" si="13"/>
        <v>0</v>
      </c>
      <c r="R282">
        <f t="shared" si="14"/>
        <v>0</v>
      </c>
    </row>
    <row r="283" spans="15:18" x14ac:dyDescent="0.2">
      <c r="O283">
        <v>280</v>
      </c>
      <c r="P283">
        <f t="shared" si="12"/>
        <v>0</v>
      </c>
      <c r="Q283">
        <f t="shared" si="13"/>
        <v>0</v>
      </c>
      <c r="R283">
        <f t="shared" si="14"/>
        <v>0</v>
      </c>
    </row>
    <row r="284" spans="15:18" x14ac:dyDescent="0.2">
      <c r="O284">
        <v>281</v>
      </c>
      <c r="P284">
        <f t="shared" si="12"/>
        <v>0</v>
      </c>
      <c r="Q284">
        <f t="shared" si="13"/>
        <v>0</v>
      </c>
      <c r="R284">
        <f t="shared" si="14"/>
        <v>0</v>
      </c>
    </row>
    <row r="285" spans="15:18" x14ac:dyDescent="0.2">
      <c r="O285">
        <v>282</v>
      </c>
      <c r="P285">
        <f t="shared" si="12"/>
        <v>0</v>
      </c>
      <c r="Q285">
        <f t="shared" si="13"/>
        <v>0</v>
      </c>
      <c r="R285">
        <f t="shared" si="14"/>
        <v>0</v>
      </c>
    </row>
    <row r="286" spans="15:18" x14ac:dyDescent="0.2">
      <c r="O286">
        <v>283</v>
      </c>
      <c r="P286">
        <f t="shared" si="12"/>
        <v>0</v>
      </c>
      <c r="Q286">
        <f t="shared" si="13"/>
        <v>0</v>
      </c>
      <c r="R286">
        <f t="shared" si="14"/>
        <v>0</v>
      </c>
    </row>
    <row r="287" spans="15:18" x14ac:dyDescent="0.2">
      <c r="O287">
        <v>284</v>
      </c>
      <c r="P287">
        <f t="shared" si="12"/>
        <v>0</v>
      </c>
      <c r="Q287">
        <f t="shared" si="13"/>
        <v>0</v>
      </c>
      <c r="R287">
        <f t="shared" si="14"/>
        <v>0</v>
      </c>
    </row>
    <row r="288" spans="15:18" x14ac:dyDescent="0.2">
      <c r="O288">
        <v>285</v>
      </c>
      <c r="P288">
        <f t="shared" si="12"/>
        <v>0</v>
      </c>
      <c r="Q288">
        <f t="shared" si="13"/>
        <v>0</v>
      </c>
      <c r="R288">
        <f t="shared" si="14"/>
        <v>0</v>
      </c>
    </row>
    <row r="289" spans="15:18" x14ac:dyDescent="0.2">
      <c r="O289">
        <v>286</v>
      </c>
      <c r="P289">
        <f t="shared" si="12"/>
        <v>0</v>
      </c>
      <c r="Q289">
        <f t="shared" si="13"/>
        <v>0</v>
      </c>
      <c r="R289">
        <f t="shared" si="14"/>
        <v>0</v>
      </c>
    </row>
    <row r="290" spans="15:18" x14ac:dyDescent="0.2">
      <c r="O290">
        <v>287</v>
      </c>
      <c r="P290">
        <f t="shared" si="12"/>
        <v>0</v>
      </c>
      <c r="Q290">
        <f t="shared" si="13"/>
        <v>0</v>
      </c>
      <c r="R290">
        <f t="shared" si="14"/>
        <v>0</v>
      </c>
    </row>
    <row r="291" spans="15:18" x14ac:dyDescent="0.2">
      <c r="O291">
        <v>288</v>
      </c>
      <c r="P291">
        <f t="shared" si="12"/>
        <v>0</v>
      </c>
      <c r="Q291">
        <f t="shared" si="13"/>
        <v>0</v>
      </c>
      <c r="R291">
        <f t="shared" si="14"/>
        <v>0</v>
      </c>
    </row>
    <row r="292" spans="15:18" x14ac:dyDescent="0.2">
      <c r="O292">
        <v>289</v>
      </c>
      <c r="P292">
        <f t="shared" si="12"/>
        <v>0</v>
      </c>
      <c r="Q292">
        <f t="shared" si="13"/>
        <v>0</v>
      </c>
      <c r="R292">
        <f t="shared" si="14"/>
        <v>0</v>
      </c>
    </row>
    <row r="293" spans="15:18" x14ac:dyDescent="0.2">
      <c r="O293">
        <v>290</v>
      </c>
      <c r="P293">
        <f t="shared" si="12"/>
        <v>0</v>
      </c>
      <c r="Q293">
        <f t="shared" si="13"/>
        <v>0</v>
      </c>
      <c r="R293">
        <f t="shared" si="14"/>
        <v>0</v>
      </c>
    </row>
    <row r="294" spans="15:18" x14ac:dyDescent="0.2">
      <c r="O294">
        <v>291</v>
      </c>
      <c r="P294">
        <f t="shared" si="12"/>
        <v>0</v>
      </c>
      <c r="Q294">
        <f t="shared" si="13"/>
        <v>0</v>
      </c>
      <c r="R294">
        <f t="shared" si="14"/>
        <v>0</v>
      </c>
    </row>
    <row r="295" spans="15:18" x14ac:dyDescent="0.2">
      <c r="O295">
        <v>292</v>
      </c>
      <c r="P295">
        <f t="shared" si="12"/>
        <v>0</v>
      </c>
      <c r="Q295">
        <f t="shared" si="13"/>
        <v>0</v>
      </c>
      <c r="R295">
        <f t="shared" si="14"/>
        <v>0</v>
      </c>
    </row>
    <row r="296" spans="15:18" x14ac:dyDescent="0.2">
      <c r="O296">
        <v>293</v>
      </c>
      <c r="P296">
        <f t="shared" si="12"/>
        <v>0</v>
      </c>
      <c r="Q296">
        <f t="shared" si="13"/>
        <v>0</v>
      </c>
      <c r="R296">
        <f t="shared" si="14"/>
        <v>0</v>
      </c>
    </row>
    <row r="297" spans="15:18" x14ac:dyDescent="0.2">
      <c r="O297">
        <v>294</v>
      </c>
      <c r="P297">
        <f t="shared" si="12"/>
        <v>0</v>
      </c>
      <c r="Q297">
        <f t="shared" si="13"/>
        <v>0</v>
      </c>
      <c r="R297">
        <f t="shared" si="14"/>
        <v>0</v>
      </c>
    </row>
    <row r="298" spans="15:18" x14ac:dyDescent="0.2">
      <c r="O298">
        <v>295</v>
      </c>
      <c r="P298">
        <f t="shared" si="12"/>
        <v>0</v>
      </c>
      <c r="Q298">
        <f t="shared" si="13"/>
        <v>0</v>
      </c>
      <c r="R298">
        <f t="shared" si="14"/>
        <v>0</v>
      </c>
    </row>
    <row r="299" spans="15:18" x14ac:dyDescent="0.2">
      <c r="O299">
        <v>296</v>
      </c>
      <c r="P299">
        <f t="shared" si="12"/>
        <v>0</v>
      </c>
      <c r="Q299">
        <f t="shared" si="13"/>
        <v>0</v>
      </c>
      <c r="R299">
        <f t="shared" si="14"/>
        <v>0</v>
      </c>
    </row>
    <row r="300" spans="15:18" x14ac:dyDescent="0.2">
      <c r="O300">
        <v>297</v>
      </c>
      <c r="P300">
        <f t="shared" si="12"/>
        <v>0</v>
      </c>
      <c r="Q300">
        <f t="shared" si="13"/>
        <v>0</v>
      </c>
      <c r="R300">
        <f t="shared" si="14"/>
        <v>0</v>
      </c>
    </row>
    <row r="301" spans="15:18" x14ac:dyDescent="0.2">
      <c r="O301">
        <v>298</v>
      </c>
      <c r="P301">
        <f t="shared" si="12"/>
        <v>0</v>
      </c>
      <c r="Q301">
        <f t="shared" si="13"/>
        <v>0</v>
      </c>
      <c r="R301">
        <f t="shared" si="14"/>
        <v>0</v>
      </c>
    </row>
    <row r="302" spans="15:18" x14ac:dyDescent="0.2">
      <c r="O302">
        <v>299</v>
      </c>
      <c r="P302">
        <f t="shared" si="12"/>
        <v>0</v>
      </c>
      <c r="Q302">
        <f t="shared" si="13"/>
        <v>0</v>
      </c>
      <c r="R302">
        <f t="shared" si="14"/>
        <v>0</v>
      </c>
    </row>
    <row r="303" spans="15:18" x14ac:dyDescent="0.2">
      <c r="O303">
        <v>300</v>
      </c>
      <c r="P303">
        <f t="shared" si="12"/>
        <v>0</v>
      </c>
      <c r="Q303">
        <f t="shared" si="13"/>
        <v>0</v>
      </c>
      <c r="R303">
        <f t="shared" si="14"/>
        <v>0</v>
      </c>
    </row>
    <row r="304" spans="15:18" x14ac:dyDescent="0.2">
      <c r="O304">
        <v>301</v>
      </c>
      <c r="P304">
        <f t="shared" si="12"/>
        <v>0</v>
      </c>
      <c r="Q304">
        <f t="shared" si="13"/>
        <v>0</v>
      </c>
      <c r="R304">
        <f t="shared" si="14"/>
        <v>0</v>
      </c>
    </row>
    <row r="305" spans="15:18" x14ac:dyDescent="0.2">
      <c r="O305">
        <v>302</v>
      </c>
      <c r="P305">
        <f t="shared" si="12"/>
        <v>0</v>
      </c>
      <c r="Q305">
        <f t="shared" si="13"/>
        <v>0</v>
      </c>
      <c r="R305">
        <f t="shared" si="14"/>
        <v>0</v>
      </c>
    </row>
    <row r="306" spans="15:18" x14ac:dyDescent="0.2">
      <c r="O306">
        <v>303</v>
      </c>
      <c r="P306">
        <f t="shared" si="12"/>
        <v>0</v>
      </c>
      <c r="Q306">
        <f t="shared" si="13"/>
        <v>0</v>
      </c>
      <c r="R306">
        <f t="shared" si="14"/>
        <v>0</v>
      </c>
    </row>
    <row r="307" spans="15:18" x14ac:dyDescent="0.2">
      <c r="O307">
        <v>304</v>
      </c>
      <c r="P307">
        <f t="shared" si="12"/>
        <v>0</v>
      </c>
      <c r="Q307">
        <f t="shared" si="13"/>
        <v>0</v>
      </c>
      <c r="R307">
        <f t="shared" si="14"/>
        <v>0</v>
      </c>
    </row>
    <row r="308" spans="15:18" x14ac:dyDescent="0.2">
      <c r="O308">
        <v>305</v>
      </c>
      <c r="P308">
        <f t="shared" si="12"/>
        <v>0</v>
      </c>
      <c r="Q308">
        <f t="shared" si="13"/>
        <v>0</v>
      </c>
      <c r="R308">
        <f t="shared" si="14"/>
        <v>0</v>
      </c>
    </row>
    <row r="309" spans="15:18" x14ac:dyDescent="0.2">
      <c r="O309">
        <v>306</v>
      </c>
      <c r="P309">
        <f t="shared" si="12"/>
        <v>0</v>
      </c>
      <c r="Q309">
        <f t="shared" si="13"/>
        <v>0</v>
      </c>
      <c r="R309">
        <f t="shared" si="14"/>
        <v>0</v>
      </c>
    </row>
    <row r="310" spans="15:18" x14ac:dyDescent="0.2">
      <c r="O310">
        <v>307</v>
      </c>
      <c r="P310">
        <f t="shared" si="12"/>
        <v>0</v>
      </c>
      <c r="Q310">
        <f t="shared" si="13"/>
        <v>0</v>
      </c>
      <c r="R310">
        <f t="shared" si="14"/>
        <v>0</v>
      </c>
    </row>
    <row r="311" spans="15:18" x14ac:dyDescent="0.2">
      <c r="O311">
        <v>308</v>
      </c>
      <c r="P311">
        <f t="shared" si="12"/>
        <v>0</v>
      </c>
      <c r="Q311">
        <f t="shared" si="13"/>
        <v>0</v>
      </c>
      <c r="R311">
        <f t="shared" si="14"/>
        <v>0</v>
      </c>
    </row>
    <row r="312" spans="15:18" x14ac:dyDescent="0.2">
      <c r="O312">
        <v>309</v>
      </c>
      <c r="P312">
        <f t="shared" si="12"/>
        <v>0</v>
      </c>
      <c r="Q312">
        <f t="shared" si="13"/>
        <v>0</v>
      </c>
      <c r="R312">
        <f t="shared" si="14"/>
        <v>0</v>
      </c>
    </row>
    <row r="313" spans="15:18" x14ac:dyDescent="0.2">
      <c r="O313">
        <v>310</v>
      </c>
      <c r="P313">
        <f t="shared" si="12"/>
        <v>0</v>
      </c>
      <c r="Q313">
        <f t="shared" si="13"/>
        <v>0</v>
      </c>
      <c r="R313">
        <f t="shared" si="14"/>
        <v>0</v>
      </c>
    </row>
    <row r="314" spans="15:18" x14ac:dyDescent="0.2">
      <c r="O314">
        <v>311</v>
      </c>
      <c r="P314">
        <f t="shared" si="12"/>
        <v>0</v>
      </c>
      <c r="Q314">
        <f t="shared" si="13"/>
        <v>0</v>
      </c>
      <c r="R314">
        <f t="shared" si="14"/>
        <v>0</v>
      </c>
    </row>
    <row r="315" spans="15:18" x14ac:dyDescent="0.2">
      <c r="O315">
        <v>312</v>
      </c>
      <c r="P315">
        <f t="shared" si="12"/>
        <v>0</v>
      </c>
      <c r="Q315">
        <f t="shared" si="13"/>
        <v>0</v>
      </c>
      <c r="R315">
        <f t="shared" si="14"/>
        <v>0</v>
      </c>
    </row>
    <row r="316" spans="15:18" x14ac:dyDescent="0.2">
      <c r="O316">
        <v>313</v>
      </c>
      <c r="P316">
        <f t="shared" si="12"/>
        <v>0</v>
      </c>
      <c r="Q316">
        <f t="shared" si="13"/>
        <v>0</v>
      </c>
      <c r="R316">
        <f t="shared" si="14"/>
        <v>0</v>
      </c>
    </row>
    <row r="317" spans="15:18" x14ac:dyDescent="0.2">
      <c r="O317">
        <v>314</v>
      </c>
      <c r="P317">
        <f t="shared" si="12"/>
        <v>0</v>
      </c>
      <c r="Q317">
        <f t="shared" si="13"/>
        <v>0</v>
      </c>
      <c r="R317">
        <f t="shared" si="14"/>
        <v>0</v>
      </c>
    </row>
    <row r="318" spans="15:18" x14ac:dyDescent="0.2">
      <c r="O318">
        <v>315</v>
      </c>
      <c r="P318">
        <f t="shared" si="12"/>
        <v>0</v>
      </c>
      <c r="Q318">
        <f t="shared" si="13"/>
        <v>0</v>
      </c>
      <c r="R318">
        <f t="shared" si="14"/>
        <v>0</v>
      </c>
    </row>
    <row r="319" spans="15:18" x14ac:dyDescent="0.2">
      <c r="O319">
        <v>316</v>
      </c>
      <c r="P319">
        <f t="shared" si="12"/>
        <v>0</v>
      </c>
      <c r="Q319">
        <f t="shared" si="13"/>
        <v>0</v>
      </c>
      <c r="R319">
        <f t="shared" si="14"/>
        <v>0</v>
      </c>
    </row>
    <row r="320" spans="15:18" x14ac:dyDescent="0.2">
      <c r="O320">
        <v>317</v>
      </c>
      <c r="P320">
        <f t="shared" si="12"/>
        <v>0</v>
      </c>
      <c r="Q320">
        <f t="shared" si="13"/>
        <v>0</v>
      </c>
      <c r="R320">
        <f t="shared" si="14"/>
        <v>0</v>
      </c>
    </row>
    <row r="321" spans="15:18" x14ac:dyDescent="0.2">
      <c r="O321">
        <v>318</v>
      </c>
      <c r="P321">
        <f t="shared" si="12"/>
        <v>0</v>
      </c>
      <c r="Q321">
        <f t="shared" si="13"/>
        <v>0</v>
      </c>
      <c r="R321">
        <f t="shared" si="14"/>
        <v>0</v>
      </c>
    </row>
    <row r="322" spans="15:18" x14ac:dyDescent="0.2">
      <c r="O322">
        <v>319</v>
      </c>
      <c r="P322">
        <f t="shared" si="12"/>
        <v>0</v>
      </c>
      <c r="Q322">
        <f t="shared" si="13"/>
        <v>0</v>
      </c>
      <c r="R322">
        <f t="shared" si="14"/>
        <v>0</v>
      </c>
    </row>
    <row r="323" spans="15:18" x14ac:dyDescent="0.2">
      <c r="O323">
        <v>320</v>
      </c>
      <c r="P323">
        <f t="shared" si="12"/>
        <v>0</v>
      </c>
      <c r="Q323">
        <f t="shared" si="13"/>
        <v>0</v>
      </c>
      <c r="R323">
        <f t="shared" si="14"/>
        <v>0</v>
      </c>
    </row>
    <row r="324" spans="15:18" x14ac:dyDescent="0.2">
      <c r="O324">
        <v>321</v>
      </c>
      <c r="P324">
        <f t="shared" si="12"/>
        <v>0</v>
      </c>
      <c r="Q324">
        <f t="shared" si="13"/>
        <v>0</v>
      </c>
      <c r="R324">
        <f t="shared" si="14"/>
        <v>0</v>
      </c>
    </row>
    <row r="325" spans="15:18" x14ac:dyDescent="0.2">
      <c r="O325">
        <v>322</v>
      </c>
      <c r="P325">
        <f t="shared" ref="P325:P388" si="15">IF($O325&lt;=$B$6/2, SQRT($B$3*($O325-$O324))+P324, IF((P324-SQRT($B$3*($O325-$O324)))&lt;0, 0, P324-SQRT($B$3*($O325-$O324))))</f>
        <v>0</v>
      </c>
      <c r="Q325">
        <f t="shared" ref="Q325:Q388" si="16">IF($O325&lt;=$B$6/2, SQRT($B$4*($O325-$O324))+Q324, IF((Q324-SQRT($B$4*($O325-$O324)))&lt;0, 0, Q324-SQRT($B$4*($O325-$O324))))</f>
        <v>0</v>
      </c>
      <c r="R325">
        <f t="shared" ref="R325:R388" si="17">IF($O325&lt;=$B$6/2, SQRT($B$5*($O325-$O324))+R324, IF((R324-SQRT($B$5*($O325-$O324)))&lt;0, 0, R324-SQRT($B$5*($O325-$O324))))</f>
        <v>0</v>
      </c>
    </row>
    <row r="326" spans="15:18" x14ac:dyDescent="0.2">
      <c r="O326">
        <v>323</v>
      </c>
      <c r="P326">
        <f t="shared" si="15"/>
        <v>0</v>
      </c>
      <c r="Q326">
        <f t="shared" si="16"/>
        <v>0</v>
      </c>
      <c r="R326">
        <f t="shared" si="17"/>
        <v>0</v>
      </c>
    </row>
    <row r="327" spans="15:18" x14ac:dyDescent="0.2">
      <c r="O327">
        <v>324</v>
      </c>
      <c r="P327">
        <f t="shared" si="15"/>
        <v>0</v>
      </c>
      <c r="Q327">
        <f t="shared" si="16"/>
        <v>0</v>
      </c>
      <c r="R327">
        <f t="shared" si="17"/>
        <v>0</v>
      </c>
    </row>
    <row r="328" spans="15:18" x14ac:dyDescent="0.2">
      <c r="O328">
        <v>325</v>
      </c>
      <c r="P328">
        <f t="shared" si="15"/>
        <v>0</v>
      </c>
      <c r="Q328">
        <f t="shared" si="16"/>
        <v>0</v>
      </c>
      <c r="R328">
        <f t="shared" si="17"/>
        <v>0</v>
      </c>
    </row>
    <row r="329" spans="15:18" x14ac:dyDescent="0.2">
      <c r="O329">
        <v>326</v>
      </c>
      <c r="P329">
        <f t="shared" si="15"/>
        <v>0</v>
      </c>
      <c r="Q329">
        <f t="shared" si="16"/>
        <v>0</v>
      </c>
      <c r="R329">
        <f t="shared" si="17"/>
        <v>0</v>
      </c>
    </row>
    <row r="330" spans="15:18" x14ac:dyDescent="0.2">
      <c r="O330">
        <v>327</v>
      </c>
      <c r="P330">
        <f t="shared" si="15"/>
        <v>0</v>
      </c>
      <c r="Q330">
        <f t="shared" si="16"/>
        <v>0</v>
      </c>
      <c r="R330">
        <f t="shared" si="17"/>
        <v>0</v>
      </c>
    </row>
    <row r="331" spans="15:18" x14ac:dyDescent="0.2">
      <c r="O331">
        <v>328</v>
      </c>
      <c r="P331">
        <f t="shared" si="15"/>
        <v>0</v>
      </c>
      <c r="Q331">
        <f t="shared" si="16"/>
        <v>0</v>
      </c>
      <c r="R331">
        <f t="shared" si="17"/>
        <v>0</v>
      </c>
    </row>
    <row r="332" spans="15:18" x14ac:dyDescent="0.2">
      <c r="O332">
        <v>329</v>
      </c>
      <c r="P332">
        <f t="shared" si="15"/>
        <v>0</v>
      </c>
      <c r="Q332">
        <f t="shared" si="16"/>
        <v>0</v>
      </c>
      <c r="R332">
        <f t="shared" si="17"/>
        <v>0</v>
      </c>
    </row>
    <row r="333" spans="15:18" x14ac:dyDescent="0.2">
      <c r="O333">
        <v>330</v>
      </c>
      <c r="P333">
        <f t="shared" si="15"/>
        <v>0</v>
      </c>
      <c r="Q333">
        <f t="shared" si="16"/>
        <v>0</v>
      </c>
      <c r="R333">
        <f t="shared" si="17"/>
        <v>0</v>
      </c>
    </row>
    <row r="334" spans="15:18" x14ac:dyDescent="0.2">
      <c r="O334">
        <v>331</v>
      </c>
      <c r="P334">
        <f t="shared" si="15"/>
        <v>0</v>
      </c>
      <c r="Q334">
        <f t="shared" si="16"/>
        <v>0</v>
      </c>
      <c r="R334">
        <f t="shared" si="17"/>
        <v>0</v>
      </c>
    </row>
    <row r="335" spans="15:18" x14ac:dyDescent="0.2">
      <c r="O335">
        <v>332</v>
      </c>
      <c r="P335">
        <f t="shared" si="15"/>
        <v>0</v>
      </c>
      <c r="Q335">
        <f t="shared" si="16"/>
        <v>0</v>
      </c>
      <c r="R335">
        <f t="shared" si="17"/>
        <v>0</v>
      </c>
    </row>
    <row r="336" spans="15:18" x14ac:dyDescent="0.2">
      <c r="O336">
        <v>333</v>
      </c>
      <c r="P336">
        <f t="shared" si="15"/>
        <v>0</v>
      </c>
      <c r="Q336">
        <f t="shared" si="16"/>
        <v>0</v>
      </c>
      <c r="R336">
        <f t="shared" si="17"/>
        <v>0</v>
      </c>
    </row>
    <row r="337" spans="15:18" x14ac:dyDescent="0.2">
      <c r="O337">
        <v>334</v>
      </c>
      <c r="P337">
        <f t="shared" si="15"/>
        <v>0</v>
      </c>
      <c r="Q337">
        <f t="shared" si="16"/>
        <v>0</v>
      </c>
      <c r="R337">
        <f t="shared" si="17"/>
        <v>0</v>
      </c>
    </row>
    <row r="338" spans="15:18" x14ac:dyDescent="0.2">
      <c r="O338">
        <v>335</v>
      </c>
      <c r="P338">
        <f t="shared" si="15"/>
        <v>0</v>
      </c>
      <c r="Q338">
        <f t="shared" si="16"/>
        <v>0</v>
      </c>
      <c r="R338">
        <f t="shared" si="17"/>
        <v>0</v>
      </c>
    </row>
    <row r="339" spans="15:18" x14ac:dyDescent="0.2">
      <c r="O339">
        <v>336</v>
      </c>
      <c r="P339">
        <f t="shared" si="15"/>
        <v>0</v>
      </c>
      <c r="Q339">
        <f t="shared" si="16"/>
        <v>0</v>
      </c>
      <c r="R339">
        <f t="shared" si="17"/>
        <v>0</v>
      </c>
    </row>
    <row r="340" spans="15:18" x14ac:dyDescent="0.2">
      <c r="O340">
        <v>337</v>
      </c>
      <c r="P340">
        <f t="shared" si="15"/>
        <v>0</v>
      </c>
      <c r="Q340">
        <f t="shared" si="16"/>
        <v>0</v>
      </c>
      <c r="R340">
        <f t="shared" si="17"/>
        <v>0</v>
      </c>
    </row>
    <row r="341" spans="15:18" x14ac:dyDescent="0.2">
      <c r="O341">
        <v>338</v>
      </c>
      <c r="P341">
        <f t="shared" si="15"/>
        <v>0</v>
      </c>
      <c r="Q341">
        <f t="shared" si="16"/>
        <v>0</v>
      </c>
      <c r="R341">
        <f t="shared" si="17"/>
        <v>0</v>
      </c>
    </row>
    <row r="342" spans="15:18" x14ac:dyDescent="0.2">
      <c r="O342">
        <v>339</v>
      </c>
      <c r="P342">
        <f t="shared" si="15"/>
        <v>0</v>
      </c>
      <c r="Q342">
        <f t="shared" si="16"/>
        <v>0</v>
      </c>
      <c r="R342">
        <f t="shared" si="17"/>
        <v>0</v>
      </c>
    </row>
    <row r="343" spans="15:18" x14ac:dyDescent="0.2">
      <c r="O343">
        <v>340</v>
      </c>
      <c r="P343">
        <f t="shared" si="15"/>
        <v>0</v>
      </c>
      <c r="Q343">
        <f t="shared" si="16"/>
        <v>0</v>
      </c>
      <c r="R343">
        <f t="shared" si="17"/>
        <v>0</v>
      </c>
    </row>
    <row r="344" spans="15:18" x14ac:dyDescent="0.2">
      <c r="O344">
        <v>341</v>
      </c>
      <c r="P344">
        <f t="shared" si="15"/>
        <v>0</v>
      </c>
      <c r="Q344">
        <f t="shared" si="16"/>
        <v>0</v>
      </c>
      <c r="R344">
        <f t="shared" si="17"/>
        <v>0</v>
      </c>
    </row>
    <row r="345" spans="15:18" x14ac:dyDescent="0.2">
      <c r="O345">
        <v>342</v>
      </c>
      <c r="P345">
        <f t="shared" si="15"/>
        <v>0</v>
      </c>
      <c r="Q345">
        <f t="shared" si="16"/>
        <v>0</v>
      </c>
      <c r="R345">
        <f t="shared" si="17"/>
        <v>0</v>
      </c>
    </row>
    <row r="346" spans="15:18" x14ac:dyDescent="0.2">
      <c r="O346">
        <v>343</v>
      </c>
      <c r="P346">
        <f t="shared" si="15"/>
        <v>0</v>
      </c>
      <c r="Q346">
        <f t="shared" si="16"/>
        <v>0</v>
      </c>
      <c r="R346">
        <f t="shared" si="17"/>
        <v>0</v>
      </c>
    </row>
    <row r="347" spans="15:18" x14ac:dyDescent="0.2">
      <c r="O347">
        <v>344</v>
      </c>
      <c r="P347">
        <f t="shared" si="15"/>
        <v>0</v>
      </c>
      <c r="Q347">
        <f t="shared" si="16"/>
        <v>0</v>
      </c>
      <c r="R347">
        <f t="shared" si="17"/>
        <v>0</v>
      </c>
    </row>
    <row r="348" spans="15:18" x14ac:dyDescent="0.2">
      <c r="O348">
        <v>345</v>
      </c>
      <c r="P348">
        <f t="shared" si="15"/>
        <v>0</v>
      </c>
      <c r="Q348">
        <f t="shared" si="16"/>
        <v>0</v>
      </c>
      <c r="R348">
        <f t="shared" si="17"/>
        <v>0</v>
      </c>
    </row>
    <row r="349" spans="15:18" x14ac:dyDescent="0.2">
      <c r="O349">
        <v>346</v>
      </c>
      <c r="P349">
        <f t="shared" si="15"/>
        <v>0</v>
      </c>
      <c r="Q349">
        <f t="shared" si="16"/>
        <v>0</v>
      </c>
      <c r="R349">
        <f t="shared" si="17"/>
        <v>0</v>
      </c>
    </row>
    <row r="350" spans="15:18" x14ac:dyDescent="0.2">
      <c r="O350">
        <v>347</v>
      </c>
      <c r="P350">
        <f t="shared" si="15"/>
        <v>0</v>
      </c>
      <c r="Q350">
        <f t="shared" si="16"/>
        <v>0</v>
      </c>
      <c r="R350">
        <f t="shared" si="17"/>
        <v>0</v>
      </c>
    </row>
    <row r="351" spans="15:18" x14ac:dyDescent="0.2">
      <c r="O351">
        <v>348</v>
      </c>
      <c r="P351">
        <f t="shared" si="15"/>
        <v>0</v>
      </c>
      <c r="Q351">
        <f t="shared" si="16"/>
        <v>0</v>
      </c>
      <c r="R351">
        <f t="shared" si="17"/>
        <v>0</v>
      </c>
    </row>
    <row r="352" spans="15:18" x14ac:dyDescent="0.2">
      <c r="O352">
        <v>349</v>
      </c>
      <c r="P352">
        <f t="shared" si="15"/>
        <v>0</v>
      </c>
      <c r="Q352">
        <f t="shared" si="16"/>
        <v>0</v>
      </c>
      <c r="R352">
        <f t="shared" si="17"/>
        <v>0</v>
      </c>
    </row>
    <row r="353" spans="15:18" x14ac:dyDescent="0.2">
      <c r="O353">
        <v>350</v>
      </c>
      <c r="P353">
        <f t="shared" si="15"/>
        <v>0</v>
      </c>
      <c r="Q353">
        <f t="shared" si="16"/>
        <v>0</v>
      </c>
      <c r="R353">
        <f t="shared" si="17"/>
        <v>0</v>
      </c>
    </row>
    <row r="354" spans="15:18" x14ac:dyDescent="0.2">
      <c r="O354">
        <v>351</v>
      </c>
      <c r="P354">
        <f t="shared" si="15"/>
        <v>0</v>
      </c>
      <c r="Q354">
        <f t="shared" si="16"/>
        <v>0</v>
      </c>
      <c r="R354">
        <f t="shared" si="17"/>
        <v>0</v>
      </c>
    </row>
    <row r="355" spans="15:18" x14ac:dyDescent="0.2">
      <c r="O355">
        <v>352</v>
      </c>
      <c r="P355">
        <f t="shared" si="15"/>
        <v>0</v>
      </c>
      <c r="Q355">
        <f t="shared" si="16"/>
        <v>0</v>
      </c>
      <c r="R355">
        <f t="shared" si="17"/>
        <v>0</v>
      </c>
    </row>
    <row r="356" spans="15:18" x14ac:dyDescent="0.2">
      <c r="O356">
        <v>353</v>
      </c>
      <c r="P356">
        <f t="shared" si="15"/>
        <v>0</v>
      </c>
      <c r="Q356">
        <f t="shared" si="16"/>
        <v>0</v>
      </c>
      <c r="R356">
        <f t="shared" si="17"/>
        <v>0</v>
      </c>
    </row>
    <row r="357" spans="15:18" x14ac:dyDescent="0.2">
      <c r="O357">
        <v>354</v>
      </c>
      <c r="P357">
        <f t="shared" si="15"/>
        <v>0</v>
      </c>
      <c r="Q357">
        <f t="shared" si="16"/>
        <v>0</v>
      </c>
      <c r="R357">
        <f t="shared" si="17"/>
        <v>0</v>
      </c>
    </row>
    <row r="358" spans="15:18" x14ac:dyDescent="0.2">
      <c r="O358">
        <v>355</v>
      </c>
      <c r="P358">
        <f t="shared" si="15"/>
        <v>0</v>
      </c>
      <c r="Q358">
        <f t="shared" si="16"/>
        <v>0</v>
      </c>
      <c r="R358">
        <f t="shared" si="17"/>
        <v>0</v>
      </c>
    </row>
    <row r="359" spans="15:18" x14ac:dyDescent="0.2">
      <c r="O359">
        <v>356</v>
      </c>
      <c r="P359">
        <f t="shared" si="15"/>
        <v>0</v>
      </c>
      <c r="Q359">
        <f t="shared" si="16"/>
        <v>0</v>
      </c>
      <c r="R359">
        <f t="shared" si="17"/>
        <v>0</v>
      </c>
    </row>
    <row r="360" spans="15:18" x14ac:dyDescent="0.2">
      <c r="O360">
        <v>357</v>
      </c>
      <c r="P360">
        <f t="shared" si="15"/>
        <v>0</v>
      </c>
      <c r="Q360">
        <f t="shared" si="16"/>
        <v>0</v>
      </c>
      <c r="R360">
        <f t="shared" si="17"/>
        <v>0</v>
      </c>
    </row>
    <row r="361" spans="15:18" x14ac:dyDescent="0.2">
      <c r="O361">
        <v>358</v>
      </c>
      <c r="P361">
        <f t="shared" si="15"/>
        <v>0</v>
      </c>
      <c r="Q361">
        <f t="shared" si="16"/>
        <v>0</v>
      </c>
      <c r="R361">
        <f t="shared" si="17"/>
        <v>0</v>
      </c>
    </row>
    <row r="362" spans="15:18" x14ac:dyDescent="0.2">
      <c r="O362">
        <v>359</v>
      </c>
      <c r="P362">
        <f t="shared" si="15"/>
        <v>0</v>
      </c>
      <c r="Q362">
        <f t="shared" si="16"/>
        <v>0</v>
      </c>
      <c r="R362">
        <f t="shared" si="17"/>
        <v>0</v>
      </c>
    </row>
    <row r="363" spans="15:18" x14ac:dyDescent="0.2">
      <c r="O363">
        <v>360</v>
      </c>
      <c r="P363">
        <f t="shared" si="15"/>
        <v>0</v>
      </c>
      <c r="Q363">
        <f t="shared" si="16"/>
        <v>0</v>
      </c>
      <c r="R363">
        <f t="shared" si="17"/>
        <v>0</v>
      </c>
    </row>
    <row r="364" spans="15:18" x14ac:dyDescent="0.2">
      <c r="O364">
        <v>361</v>
      </c>
      <c r="P364">
        <f t="shared" si="15"/>
        <v>0</v>
      </c>
      <c r="Q364">
        <f t="shared" si="16"/>
        <v>0</v>
      </c>
      <c r="R364">
        <f t="shared" si="17"/>
        <v>0</v>
      </c>
    </row>
    <row r="365" spans="15:18" x14ac:dyDescent="0.2">
      <c r="O365">
        <v>362</v>
      </c>
      <c r="P365">
        <f t="shared" si="15"/>
        <v>0</v>
      </c>
      <c r="Q365">
        <f t="shared" si="16"/>
        <v>0</v>
      </c>
      <c r="R365">
        <f t="shared" si="17"/>
        <v>0</v>
      </c>
    </row>
    <row r="366" spans="15:18" x14ac:dyDescent="0.2">
      <c r="O366">
        <v>363</v>
      </c>
      <c r="P366">
        <f t="shared" si="15"/>
        <v>0</v>
      </c>
      <c r="Q366">
        <f t="shared" si="16"/>
        <v>0</v>
      </c>
      <c r="R366">
        <f t="shared" si="17"/>
        <v>0</v>
      </c>
    </row>
    <row r="367" spans="15:18" x14ac:dyDescent="0.2">
      <c r="O367">
        <v>364</v>
      </c>
      <c r="P367">
        <f t="shared" si="15"/>
        <v>0</v>
      </c>
      <c r="Q367">
        <f t="shared" si="16"/>
        <v>0</v>
      </c>
      <c r="R367">
        <f t="shared" si="17"/>
        <v>0</v>
      </c>
    </row>
    <row r="368" spans="15:18" x14ac:dyDescent="0.2">
      <c r="O368">
        <v>365</v>
      </c>
      <c r="P368">
        <f t="shared" si="15"/>
        <v>0</v>
      </c>
      <c r="Q368">
        <f t="shared" si="16"/>
        <v>0</v>
      </c>
      <c r="R368">
        <f t="shared" si="17"/>
        <v>0</v>
      </c>
    </row>
    <row r="369" spans="15:18" x14ac:dyDescent="0.2">
      <c r="O369">
        <v>366</v>
      </c>
      <c r="P369">
        <f t="shared" si="15"/>
        <v>0</v>
      </c>
      <c r="Q369">
        <f t="shared" si="16"/>
        <v>0</v>
      </c>
      <c r="R369">
        <f t="shared" si="17"/>
        <v>0</v>
      </c>
    </row>
    <row r="370" spans="15:18" x14ac:dyDescent="0.2">
      <c r="O370">
        <v>367</v>
      </c>
      <c r="P370">
        <f t="shared" si="15"/>
        <v>0</v>
      </c>
      <c r="Q370">
        <f t="shared" si="16"/>
        <v>0</v>
      </c>
      <c r="R370">
        <f t="shared" si="17"/>
        <v>0</v>
      </c>
    </row>
    <row r="371" spans="15:18" x14ac:dyDescent="0.2">
      <c r="O371">
        <v>368</v>
      </c>
      <c r="P371">
        <f t="shared" si="15"/>
        <v>0</v>
      </c>
      <c r="Q371">
        <f t="shared" si="16"/>
        <v>0</v>
      </c>
      <c r="R371">
        <f t="shared" si="17"/>
        <v>0</v>
      </c>
    </row>
    <row r="372" spans="15:18" x14ac:dyDescent="0.2">
      <c r="O372">
        <v>369</v>
      </c>
      <c r="P372">
        <f t="shared" si="15"/>
        <v>0</v>
      </c>
      <c r="Q372">
        <f t="shared" si="16"/>
        <v>0</v>
      </c>
      <c r="R372">
        <f t="shared" si="17"/>
        <v>0</v>
      </c>
    </row>
    <row r="373" spans="15:18" x14ac:dyDescent="0.2">
      <c r="O373">
        <v>370</v>
      </c>
      <c r="P373">
        <f t="shared" si="15"/>
        <v>0</v>
      </c>
      <c r="Q373">
        <f t="shared" si="16"/>
        <v>0</v>
      </c>
      <c r="R373">
        <f t="shared" si="17"/>
        <v>0</v>
      </c>
    </row>
    <row r="374" spans="15:18" x14ac:dyDescent="0.2">
      <c r="O374">
        <v>371</v>
      </c>
      <c r="P374">
        <f t="shared" si="15"/>
        <v>0</v>
      </c>
      <c r="Q374">
        <f t="shared" si="16"/>
        <v>0</v>
      </c>
      <c r="R374">
        <f t="shared" si="17"/>
        <v>0</v>
      </c>
    </row>
    <row r="375" spans="15:18" x14ac:dyDescent="0.2">
      <c r="O375">
        <v>372</v>
      </c>
      <c r="P375">
        <f t="shared" si="15"/>
        <v>0</v>
      </c>
      <c r="Q375">
        <f t="shared" si="16"/>
        <v>0</v>
      </c>
      <c r="R375">
        <f t="shared" si="17"/>
        <v>0</v>
      </c>
    </row>
    <row r="376" spans="15:18" x14ac:dyDescent="0.2">
      <c r="O376">
        <v>373</v>
      </c>
      <c r="P376">
        <f t="shared" si="15"/>
        <v>0</v>
      </c>
      <c r="Q376">
        <f t="shared" si="16"/>
        <v>0</v>
      </c>
      <c r="R376">
        <f t="shared" si="17"/>
        <v>0</v>
      </c>
    </row>
    <row r="377" spans="15:18" x14ac:dyDescent="0.2">
      <c r="O377">
        <v>374</v>
      </c>
      <c r="P377">
        <f t="shared" si="15"/>
        <v>0</v>
      </c>
      <c r="Q377">
        <f t="shared" si="16"/>
        <v>0</v>
      </c>
      <c r="R377">
        <f t="shared" si="17"/>
        <v>0</v>
      </c>
    </row>
    <row r="378" spans="15:18" x14ac:dyDescent="0.2">
      <c r="O378">
        <v>375</v>
      </c>
      <c r="P378">
        <f t="shared" si="15"/>
        <v>0</v>
      </c>
      <c r="Q378">
        <f t="shared" si="16"/>
        <v>0</v>
      </c>
      <c r="R378">
        <f t="shared" si="17"/>
        <v>0</v>
      </c>
    </row>
    <row r="379" spans="15:18" x14ac:dyDescent="0.2">
      <c r="O379">
        <v>376</v>
      </c>
      <c r="P379">
        <f t="shared" si="15"/>
        <v>0</v>
      </c>
      <c r="Q379">
        <f t="shared" si="16"/>
        <v>0</v>
      </c>
      <c r="R379">
        <f t="shared" si="17"/>
        <v>0</v>
      </c>
    </row>
    <row r="380" spans="15:18" x14ac:dyDescent="0.2">
      <c r="O380">
        <v>377</v>
      </c>
      <c r="P380">
        <f t="shared" si="15"/>
        <v>0</v>
      </c>
      <c r="Q380">
        <f t="shared" si="16"/>
        <v>0</v>
      </c>
      <c r="R380">
        <f t="shared" si="17"/>
        <v>0</v>
      </c>
    </row>
    <row r="381" spans="15:18" x14ac:dyDescent="0.2">
      <c r="O381">
        <v>378</v>
      </c>
      <c r="P381">
        <f t="shared" si="15"/>
        <v>0</v>
      </c>
      <c r="Q381">
        <f t="shared" si="16"/>
        <v>0</v>
      </c>
      <c r="R381">
        <f t="shared" si="17"/>
        <v>0</v>
      </c>
    </row>
    <row r="382" spans="15:18" x14ac:dyDescent="0.2">
      <c r="O382">
        <v>379</v>
      </c>
      <c r="P382">
        <f t="shared" si="15"/>
        <v>0</v>
      </c>
      <c r="Q382">
        <f t="shared" si="16"/>
        <v>0</v>
      </c>
      <c r="R382">
        <f t="shared" si="17"/>
        <v>0</v>
      </c>
    </row>
    <row r="383" spans="15:18" x14ac:dyDescent="0.2">
      <c r="O383">
        <v>380</v>
      </c>
      <c r="P383">
        <f t="shared" si="15"/>
        <v>0</v>
      </c>
      <c r="Q383">
        <f t="shared" si="16"/>
        <v>0</v>
      </c>
      <c r="R383">
        <f t="shared" si="17"/>
        <v>0</v>
      </c>
    </row>
    <row r="384" spans="15:18" x14ac:dyDescent="0.2">
      <c r="O384">
        <v>381</v>
      </c>
      <c r="P384">
        <f t="shared" si="15"/>
        <v>0</v>
      </c>
      <c r="Q384">
        <f t="shared" si="16"/>
        <v>0</v>
      </c>
      <c r="R384">
        <f t="shared" si="17"/>
        <v>0</v>
      </c>
    </row>
    <row r="385" spans="15:18" x14ac:dyDescent="0.2">
      <c r="O385">
        <v>382</v>
      </c>
      <c r="P385">
        <f t="shared" si="15"/>
        <v>0</v>
      </c>
      <c r="Q385">
        <f t="shared" si="16"/>
        <v>0</v>
      </c>
      <c r="R385">
        <f t="shared" si="17"/>
        <v>0</v>
      </c>
    </row>
    <row r="386" spans="15:18" x14ac:dyDescent="0.2">
      <c r="O386">
        <v>383</v>
      </c>
      <c r="P386">
        <f t="shared" si="15"/>
        <v>0</v>
      </c>
      <c r="Q386">
        <f t="shared" si="16"/>
        <v>0</v>
      </c>
      <c r="R386">
        <f t="shared" si="17"/>
        <v>0</v>
      </c>
    </row>
    <row r="387" spans="15:18" x14ac:dyDescent="0.2">
      <c r="O387">
        <v>384</v>
      </c>
      <c r="P387">
        <f t="shared" si="15"/>
        <v>0</v>
      </c>
      <c r="Q387">
        <f t="shared" si="16"/>
        <v>0</v>
      </c>
      <c r="R387">
        <f t="shared" si="17"/>
        <v>0</v>
      </c>
    </row>
    <row r="388" spans="15:18" x14ac:dyDescent="0.2">
      <c r="O388">
        <v>385</v>
      </c>
      <c r="P388">
        <f t="shared" si="15"/>
        <v>0</v>
      </c>
      <c r="Q388">
        <f t="shared" si="16"/>
        <v>0</v>
      </c>
      <c r="R388">
        <f t="shared" si="17"/>
        <v>0</v>
      </c>
    </row>
    <row r="389" spans="15:18" x14ac:dyDescent="0.2">
      <c r="O389">
        <v>386</v>
      </c>
      <c r="P389">
        <f t="shared" ref="P389:P452" si="18">IF($O389&lt;=$B$6/2, SQRT($B$3*($O389-$O388))+P388, IF((P388-SQRT($B$3*($O389-$O388)))&lt;0, 0, P388-SQRT($B$3*($O389-$O388))))</f>
        <v>0</v>
      </c>
      <c r="Q389">
        <f t="shared" ref="Q389:Q452" si="19">IF($O389&lt;=$B$6/2, SQRT($B$4*($O389-$O388))+Q388, IF((Q388-SQRT($B$4*($O389-$O388)))&lt;0, 0, Q388-SQRT($B$4*($O389-$O388))))</f>
        <v>0</v>
      </c>
      <c r="R389">
        <f t="shared" ref="R389:R452" si="20">IF($O389&lt;=$B$6/2, SQRT($B$5*($O389-$O388))+R388, IF((R388-SQRT($B$5*($O389-$O388)))&lt;0, 0, R388-SQRT($B$5*($O389-$O388))))</f>
        <v>0</v>
      </c>
    </row>
    <row r="390" spans="15:18" x14ac:dyDescent="0.2">
      <c r="O390">
        <v>387</v>
      </c>
      <c r="P390">
        <f t="shared" si="18"/>
        <v>0</v>
      </c>
      <c r="Q390">
        <f t="shared" si="19"/>
        <v>0</v>
      </c>
      <c r="R390">
        <f t="shared" si="20"/>
        <v>0</v>
      </c>
    </row>
    <row r="391" spans="15:18" x14ac:dyDescent="0.2">
      <c r="O391">
        <v>388</v>
      </c>
      <c r="P391">
        <f t="shared" si="18"/>
        <v>0</v>
      </c>
      <c r="Q391">
        <f t="shared" si="19"/>
        <v>0</v>
      </c>
      <c r="R391">
        <f t="shared" si="20"/>
        <v>0</v>
      </c>
    </row>
    <row r="392" spans="15:18" x14ac:dyDescent="0.2">
      <c r="O392">
        <v>389</v>
      </c>
      <c r="P392">
        <f t="shared" si="18"/>
        <v>0</v>
      </c>
      <c r="Q392">
        <f t="shared" si="19"/>
        <v>0</v>
      </c>
      <c r="R392">
        <f t="shared" si="20"/>
        <v>0</v>
      </c>
    </row>
    <row r="393" spans="15:18" x14ac:dyDescent="0.2">
      <c r="O393">
        <v>390</v>
      </c>
      <c r="P393">
        <f t="shared" si="18"/>
        <v>0</v>
      </c>
      <c r="Q393">
        <f t="shared" si="19"/>
        <v>0</v>
      </c>
      <c r="R393">
        <f t="shared" si="20"/>
        <v>0</v>
      </c>
    </row>
    <row r="394" spans="15:18" x14ac:dyDescent="0.2">
      <c r="O394">
        <v>391</v>
      </c>
      <c r="P394">
        <f t="shared" si="18"/>
        <v>0</v>
      </c>
      <c r="Q394">
        <f t="shared" si="19"/>
        <v>0</v>
      </c>
      <c r="R394">
        <f t="shared" si="20"/>
        <v>0</v>
      </c>
    </row>
    <row r="395" spans="15:18" x14ac:dyDescent="0.2">
      <c r="O395">
        <v>392</v>
      </c>
      <c r="P395">
        <f t="shared" si="18"/>
        <v>0</v>
      </c>
      <c r="Q395">
        <f t="shared" si="19"/>
        <v>0</v>
      </c>
      <c r="R395">
        <f t="shared" si="20"/>
        <v>0</v>
      </c>
    </row>
    <row r="396" spans="15:18" x14ac:dyDescent="0.2">
      <c r="O396">
        <v>393</v>
      </c>
      <c r="P396">
        <f t="shared" si="18"/>
        <v>0</v>
      </c>
      <c r="Q396">
        <f t="shared" si="19"/>
        <v>0</v>
      </c>
      <c r="R396">
        <f t="shared" si="20"/>
        <v>0</v>
      </c>
    </row>
    <row r="397" spans="15:18" x14ac:dyDescent="0.2">
      <c r="O397">
        <v>394</v>
      </c>
      <c r="P397">
        <f t="shared" si="18"/>
        <v>0</v>
      </c>
      <c r="Q397">
        <f t="shared" si="19"/>
        <v>0</v>
      </c>
      <c r="R397">
        <f t="shared" si="20"/>
        <v>0</v>
      </c>
    </row>
    <row r="398" spans="15:18" x14ac:dyDescent="0.2">
      <c r="O398">
        <v>395</v>
      </c>
      <c r="P398">
        <f t="shared" si="18"/>
        <v>0</v>
      </c>
      <c r="Q398">
        <f t="shared" si="19"/>
        <v>0</v>
      </c>
      <c r="R398">
        <f t="shared" si="20"/>
        <v>0</v>
      </c>
    </row>
    <row r="399" spans="15:18" x14ac:dyDescent="0.2">
      <c r="O399">
        <v>396</v>
      </c>
      <c r="P399">
        <f t="shared" si="18"/>
        <v>0</v>
      </c>
      <c r="Q399">
        <f t="shared" si="19"/>
        <v>0</v>
      </c>
      <c r="R399">
        <f t="shared" si="20"/>
        <v>0</v>
      </c>
    </row>
    <row r="400" spans="15:18" x14ac:dyDescent="0.2">
      <c r="O400">
        <v>397</v>
      </c>
      <c r="P400">
        <f t="shared" si="18"/>
        <v>0</v>
      </c>
      <c r="Q400">
        <f t="shared" si="19"/>
        <v>0</v>
      </c>
      <c r="R400">
        <f t="shared" si="20"/>
        <v>0</v>
      </c>
    </row>
    <row r="401" spans="15:18" x14ac:dyDescent="0.2">
      <c r="O401">
        <v>398</v>
      </c>
      <c r="P401">
        <f t="shared" si="18"/>
        <v>0</v>
      </c>
      <c r="Q401">
        <f t="shared" si="19"/>
        <v>0</v>
      </c>
      <c r="R401">
        <f t="shared" si="20"/>
        <v>0</v>
      </c>
    </row>
    <row r="402" spans="15:18" x14ac:dyDescent="0.2">
      <c r="O402">
        <v>399</v>
      </c>
      <c r="P402">
        <f t="shared" si="18"/>
        <v>0</v>
      </c>
      <c r="Q402">
        <f t="shared" si="19"/>
        <v>0</v>
      </c>
      <c r="R402">
        <f t="shared" si="20"/>
        <v>0</v>
      </c>
    </row>
    <row r="403" spans="15:18" x14ac:dyDescent="0.2">
      <c r="O403">
        <v>400</v>
      </c>
      <c r="P403">
        <f t="shared" si="18"/>
        <v>0</v>
      </c>
      <c r="Q403">
        <f t="shared" si="19"/>
        <v>0</v>
      </c>
      <c r="R403">
        <f t="shared" si="20"/>
        <v>0</v>
      </c>
    </row>
    <row r="404" spans="15:18" x14ac:dyDescent="0.2">
      <c r="O404">
        <v>401</v>
      </c>
      <c r="P404">
        <f t="shared" si="18"/>
        <v>0</v>
      </c>
      <c r="Q404">
        <f t="shared" si="19"/>
        <v>0</v>
      </c>
      <c r="R404">
        <f t="shared" si="20"/>
        <v>0</v>
      </c>
    </row>
    <row r="405" spans="15:18" x14ac:dyDescent="0.2">
      <c r="O405">
        <v>402</v>
      </c>
      <c r="P405">
        <f t="shared" si="18"/>
        <v>0</v>
      </c>
      <c r="Q405">
        <f t="shared" si="19"/>
        <v>0</v>
      </c>
      <c r="R405">
        <f t="shared" si="20"/>
        <v>0</v>
      </c>
    </row>
    <row r="406" spans="15:18" x14ac:dyDescent="0.2">
      <c r="O406">
        <v>403</v>
      </c>
      <c r="P406">
        <f t="shared" si="18"/>
        <v>0</v>
      </c>
      <c r="Q406">
        <f t="shared" si="19"/>
        <v>0</v>
      </c>
      <c r="R406">
        <f t="shared" si="20"/>
        <v>0</v>
      </c>
    </row>
    <row r="407" spans="15:18" x14ac:dyDescent="0.2">
      <c r="O407">
        <v>404</v>
      </c>
      <c r="P407">
        <f t="shared" si="18"/>
        <v>0</v>
      </c>
      <c r="Q407">
        <f t="shared" si="19"/>
        <v>0</v>
      </c>
      <c r="R407">
        <f t="shared" si="20"/>
        <v>0</v>
      </c>
    </row>
    <row r="408" spans="15:18" x14ac:dyDescent="0.2">
      <c r="O408">
        <v>405</v>
      </c>
      <c r="P408">
        <f t="shared" si="18"/>
        <v>0</v>
      </c>
      <c r="Q408">
        <f t="shared" si="19"/>
        <v>0</v>
      </c>
      <c r="R408">
        <f t="shared" si="20"/>
        <v>0</v>
      </c>
    </row>
    <row r="409" spans="15:18" x14ac:dyDescent="0.2">
      <c r="O409">
        <v>406</v>
      </c>
      <c r="P409">
        <f t="shared" si="18"/>
        <v>0</v>
      </c>
      <c r="Q409">
        <f t="shared" si="19"/>
        <v>0</v>
      </c>
      <c r="R409">
        <f t="shared" si="20"/>
        <v>0</v>
      </c>
    </row>
    <row r="410" spans="15:18" x14ac:dyDescent="0.2">
      <c r="O410">
        <v>407</v>
      </c>
      <c r="P410">
        <f t="shared" si="18"/>
        <v>0</v>
      </c>
      <c r="Q410">
        <f t="shared" si="19"/>
        <v>0</v>
      </c>
      <c r="R410">
        <f t="shared" si="20"/>
        <v>0</v>
      </c>
    </row>
    <row r="411" spans="15:18" x14ac:dyDescent="0.2">
      <c r="O411">
        <v>408</v>
      </c>
      <c r="P411">
        <f t="shared" si="18"/>
        <v>0</v>
      </c>
      <c r="Q411">
        <f t="shared" si="19"/>
        <v>0</v>
      </c>
      <c r="R411">
        <f t="shared" si="20"/>
        <v>0</v>
      </c>
    </row>
    <row r="412" spans="15:18" x14ac:dyDescent="0.2">
      <c r="O412">
        <v>409</v>
      </c>
      <c r="P412">
        <f t="shared" si="18"/>
        <v>0</v>
      </c>
      <c r="Q412">
        <f t="shared" si="19"/>
        <v>0</v>
      </c>
      <c r="R412">
        <f t="shared" si="20"/>
        <v>0</v>
      </c>
    </row>
    <row r="413" spans="15:18" x14ac:dyDescent="0.2">
      <c r="O413">
        <v>410</v>
      </c>
      <c r="P413">
        <f t="shared" si="18"/>
        <v>0</v>
      </c>
      <c r="Q413">
        <f t="shared" si="19"/>
        <v>0</v>
      </c>
      <c r="R413">
        <f t="shared" si="20"/>
        <v>0</v>
      </c>
    </row>
    <row r="414" spans="15:18" x14ac:dyDescent="0.2">
      <c r="O414">
        <v>411</v>
      </c>
      <c r="P414">
        <f t="shared" si="18"/>
        <v>0</v>
      </c>
      <c r="Q414">
        <f t="shared" si="19"/>
        <v>0</v>
      </c>
      <c r="R414">
        <f t="shared" si="20"/>
        <v>0</v>
      </c>
    </row>
    <row r="415" spans="15:18" x14ac:dyDescent="0.2">
      <c r="O415">
        <v>412</v>
      </c>
      <c r="P415">
        <f t="shared" si="18"/>
        <v>0</v>
      </c>
      <c r="Q415">
        <f t="shared" si="19"/>
        <v>0</v>
      </c>
      <c r="R415">
        <f t="shared" si="20"/>
        <v>0</v>
      </c>
    </row>
    <row r="416" spans="15:18" x14ac:dyDescent="0.2">
      <c r="O416">
        <v>413</v>
      </c>
      <c r="P416">
        <f t="shared" si="18"/>
        <v>0</v>
      </c>
      <c r="Q416">
        <f t="shared" si="19"/>
        <v>0</v>
      </c>
      <c r="R416">
        <f t="shared" si="20"/>
        <v>0</v>
      </c>
    </row>
    <row r="417" spans="15:18" x14ac:dyDescent="0.2">
      <c r="O417">
        <v>414</v>
      </c>
      <c r="P417">
        <f t="shared" si="18"/>
        <v>0</v>
      </c>
      <c r="Q417">
        <f t="shared" si="19"/>
        <v>0</v>
      </c>
      <c r="R417">
        <f t="shared" si="20"/>
        <v>0</v>
      </c>
    </row>
    <row r="418" spans="15:18" x14ac:dyDescent="0.2">
      <c r="O418">
        <v>415</v>
      </c>
      <c r="P418">
        <f t="shared" si="18"/>
        <v>0</v>
      </c>
      <c r="Q418">
        <f t="shared" si="19"/>
        <v>0</v>
      </c>
      <c r="R418">
        <f t="shared" si="20"/>
        <v>0</v>
      </c>
    </row>
    <row r="419" spans="15:18" x14ac:dyDescent="0.2">
      <c r="O419">
        <v>416</v>
      </c>
      <c r="P419">
        <f t="shared" si="18"/>
        <v>0</v>
      </c>
      <c r="Q419">
        <f t="shared" si="19"/>
        <v>0</v>
      </c>
      <c r="R419">
        <f t="shared" si="20"/>
        <v>0</v>
      </c>
    </row>
    <row r="420" spans="15:18" x14ac:dyDescent="0.2">
      <c r="O420">
        <v>417</v>
      </c>
      <c r="P420">
        <f t="shared" si="18"/>
        <v>0</v>
      </c>
      <c r="Q420">
        <f t="shared" si="19"/>
        <v>0</v>
      </c>
      <c r="R420">
        <f t="shared" si="20"/>
        <v>0</v>
      </c>
    </row>
    <row r="421" spans="15:18" x14ac:dyDescent="0.2">
      <c r="O421">
        <v>418</v>
      </c>
      <c r="P421">
        <f t="shared" si="18"/>
        <v>0</v>
      </c>
      <c r="Q421">
        <f t="shared" si="19"/>
        <v>0</v>
      </c>
      <c r="R421">
        <f t="shared" si="20"/>
        <v>0</v>
      </c>
    </row>
    <row r="422" spans="15:18" x14ac:dyDescent="0.2">
      <c r="O422">
        <v>419</v>
      </c>
      <c r="P422">
        <f t="shared" si="18"/>
        <v>0</v>
      </c>
      <c r="Q422">
        <f t="shared" si="19"/>
        <v>0</v>
      </c>
      <c r="R422">
        <f t="shared" si="20"/>
        <v>0</v>
      </c>
    </row>
    <row r="423" spans="15:18" x14ac:dyDescent="0.2">
      <c r="O423">
        <v>420</v>
      </c>
      <c r="P423">
        <f t="shared" si="18"/>
        <v>0</v>
      </c>
      <c r="Q423">
        <f t="shared" si="19"/>
        <v>0</v>
      </c>
      <c r="R423">
        <f t="shared" si="20"/>
        <v>0</v>
      </c>
    </row>
    <row r="424" spans="15:18" x14ac:dyDescent="0.2">
      <c r="O424">
        <v>421</v>
      </c>
      <c r="P424">
        <f t="shared" si="18"/>
        <v>0</v>
      </c>
      <c r="Q424">
        <f t="shared" si="19"/>
        <v>0</v>
      </c>
      <c r="R424">
        <f t="shared" si="20"/>
        <v>0</v>
      </c>
    </row>
    <row r="425" spans="15:18" x14ac:dyDescent="0.2">
      <c r="O425">
        <v>422</v>
      </c>
      <c r="P425">
        <f t="shared" si="18"/>
        <v>0</v>
      </c>
      <c r="Q425">
        <f t="shared" si="19"/>
        <v>0</v>
      </c>
      <c r="R425">
        <f t="shared" si="20"/>
        <v>0</v>
      </c>
    </row>
    <row r="426" spans="15:18" x14ac:dyDescent="0.2">
      <c r="O426">
        <v>423</v>
      </c>
      <c r="P426">
        <f t="shared" si="18"/>
        <v>0</v>
      </c>
      <c r="Q426">
        <f t="shared" si="19"/>
        <v>0</v>
      </c>
      <c r="R426">
        <f t="shared" si="20"/>
        <v>0</v>
      </c>
    </row>
    <row r="427" spans="15:18" x14ac:dyDescent="0.2">
      <c r="O427">
        <v>424</v>
      </c>
      <c r="P427">
        <f t="shared" si="18"/>
        <v>0</v>
      </c>
      <c r="Q427">
        <f t="shared" si="19"/>
        <v>0</v>
      </c>
      <c r="R427">
        <f t="shared" si="20"/>
        <v>0</v>
      </c>
    </row>
    <row r="428" spans="15:18" x14ac:dyDescent="0.2">
      <c r="O428">
        <v>425</v>
      </c>
      <c r="P428">
        <f t="shared" si="18"/>
        <v>0</v>
      </c>
      <c r="Q428">
        <f t="shared" si="19"/>
        <v>0</v>
      </c>
      <c r="R428">
        <f t="shared" si="20"/>
        <v>0</v>
      </c>
    </row>
    <row r="429" spans="15:18" x14ac:dyDescent="0.2">
      <c r="O429">
        <v>426</v>
      </c>
      <c r="P429">
        <f t="shared" si="18"/>
        <v>0</v>
      </c>
      <c r="Q429">
        <f t="shared" si="19"/>
        <v>0</v>
      </c>
      <c r="R429">
        <f t="shared" si="20"/>
        <v>0</v>
      </c>
    </row>
    <row r="430" spans="15:18" x14ac:dyDescent="0.2">
      <c r="O430">
        <v>427</v>
      </c>
      <c r="P430">
        <f t="shared" si="18"/>
        <v>0</v>
      </c>
      <c r="Q430">
        <f t="shared" si="19"/>
        <v>0</v>
      </c>
      <c r="R430">
        <f t="shared" si="20"/>
        <v>0</v>
      </c>
    </row>
    <row r="431" spans="15:18" x14ac:dyDescent="0.2">
      <c r="O431">
        <v>428</v>
      </c>
      <c r="P431">
        <f t="shared" si="18"/>
        <v>0</v>
      </c>
      <c r="Q431">
        <f t="shared" si="19"/>
        <v>0</v>
      </c>
      <c r="R431">
        <f t="shared" si="20"/>
        <v>0</v>
      </c>
    </row>
    <row r="432" spans="15:18" x14ac:dyDescent="0.2">
      <c r="O432">
        <v>429</v>
      </c>
      <c r="P432">
        <f t="shared" si="18"/>
        <v>0</v>
      </c>
      <c r="Q432">
        <f t="shared" si="19"/>
        <v>0</v>
      </c>
      <c r="R432">
        <f t="shared" si="20"/>
        <v>0</v>
      </c>
    </row>
    <row r="433" spans="15:18" x14ac:dyDescent="0.2">
      <c r="O433">
        <v>430</v>
      </c>
      <c r="P433">
        <f t="shared" si="18"/>
        <v>0</v>
      </c>
      <c r="Q433">
        <f t="shared" si="19"/>
        <v>0</v>
      </c>
      <c r="R433">
        <f t="shared" si="20"/>
        <v>0</v>
      </c>
    </row>
    <row r="434" spans="15:18" x14ac:dyDescent="0.2">
      <c r="O434">
        <v>431</v>
      </c>
      <c r="P434">
        <f t="shared" si="18"/>
        <v>0</v>
      </c>
      <c r="Q434">
        <f t="shared" si="19"/>
        <v>0</v>
      </c>
      <c r="R434">
        <f t="shared" si="20"/>
        <v>0</v>
      </c>
    </row>
    <row r="435" spans="15:18" x14ac:dyDescent="0.2">
      <c r="O435">
        <v>432</v>
      </c>
      <c r="P435">
        <f t="shared" si="18"/>
        <v>0</v>
      </c>
      <c r="Q435">
        <f t="shared" si="19"/>
        <v>0</v>
      </c>
      <c r="R435">
        <f t="shared" si="20"/>
        <v>0</v>
      </c>
    </row>
    <row r="436" spans="15:18" x14ac:dyDescent="0.2">
      <c r="O436">
        <v>433</v>
      </c>
      <c r="P436">
        <f t="shared" si="18"/>
        <v>0</v>
      </c>
      <c r="Q436">
        <f t="shared" si="19"/>
        <v>0</v>
      </c>
      <c r="R436">
        <f t="shared" si="20"/>
        <v>0</v>
      </c>
    </row>
    <row r="437" spans="15:18" x14ac:dyDescent="0.2">
      <c r="O437">
        <v>434</v>
      </c>
      <c r="P437">
        <f t="shared" si="18"/>
        <v>0</v>
      </c>
      <c r="Q437">
        <f t="shared" si="19"/>
        <v>0</v>
      </c>
      <c r="R437">
        <f t="shared" si="20"/>
        <v>0</v>
      </c>
    </row>
    <row r="438" spans="15:18" x14ac:dyDescent="0.2">
      <c r="O438">
        <v>435</v>
      </c>
      <c r="P438">
        <f t="shared" si="18"/>
        <v>0</v>
      </c>
      <c r="Q438">
        <f t="shared" si="19"/>
        <v>0</v>
      </c>
      <c r="R438">
        <f t="shared" si="20"/>
        <v>0</v>
      </c>
    </row>
    <row r="439" spans="15:18" x14ac:dyDescent="0.2">
      <c r="O439">
        <v>436</v>
      </c>
      <c r="P439">
        <f t="shared" si="18"/>
        <v>0</v>
      </c>
      <c r="Q439">
        <f t="shared" si="19"/>
        <v>0</v>
      </c>
      <c r="R439">
        <f t="shared" si="20"/>
        <v>0</v>
      </c>
    </row>
    <row r="440" spans="15:18" x14ac:dyDescent="0.2">
      <c r="O440">
        <v>437</v>
      </c>
      <c r="P440">
        <f t="shared" si="18"/>
        <v>0</v>
      </c>
      <c r="Q440">
        <f t="shared" si="19"/>
        <v>0</v>
      </c>
      <c r="R440">
        <f t="shared" si="20"/>
        <v>0</v>
      </c>
    </row>
    <row r="441" spans="15:18" x14ac:dyDescent="0.2">
      <c r="O441">
        <v>438</v>
      </c>
      <c r="P441">
        <f t="shared" si="18"/>
        <v>0</v>
      </c>
      <c r="Q441">
        <f t="shared" si="19"/>
        <v>0</v>
      </c>
      <c r="R441">
        <f t="shared" si="20"/>
        <v>0</v>
      </c>
    </row>
    <row r="442" spans="15:18" x14ac:dyDescent="0.2">
      <c r="O442">
        <v>439</v>
      </c>
      <c r="P442">
        <f t="shared" si="18"/>
        <v>0</v>
      </c>
      <c r="Q442">
        <f t="shared" si="19"/>
        <v>0</v>
      </c>
      <c r="R442">
        <f t="shared" si="20"/>
        <v>0</v>
      </c>
    </row>
    <row r="443" spans="15:18" x14ac:dyDescent="0.2">
      <c r="O443">
        <v>440</v>
      </c>
      <c r="P443">
        <f t="shared" si="18"/>
        <v>0</v>
      </c>
      <c r="Q443">
        <f t="shared" si="19"/>
        <v>0</v>
      </c>
      <c r="R443">
        <f t="shared" si="20"/>
        <v>0</v>
      </c>
    </row>
    <row r="444" spans="15:18" x14ac:dyDescent="0.2">
      <c r="O444">
        <v>441</v>
      </c>
      <c r="P444">
        <f t="shared" si="18"/>
        <v>0</v>
      </c>
      <c r="Q444">
        <f t="shared" si="19"/>
        <v>0</v>
      </c>
      <c r="R444">
        <f t="shared" si="20"/>
        <v>0</v>
      </c>
    </row>
    <row r="445" spans="15:18" x14ac:dyDescent="0.2">
      <c r="O445">
        <v>442</v>
      </c>
      <c r="P445">
        <f t="shared" si="18"/>
        <v>0</v>
      </c>
      <c r="Q445">
        <f t="shared" si="19"/>
        <v>0</v>
      </c>
      <c r="R445">
        <f t="shared" si="20"/>
        <v>0</v>
      </c>
    </row>
    <row r="446" spans="15:18" x14ac:dyDescent="0.2">
      <c r="O446">
        <v>443</v>
      </c>
      <c r="P446">
        <f t="shared" si="18"/>
        <v>0</v>
      </c>
      <c r="Q446">
        <f t="shared" si="19"/>
        <v>0</v>
      </c>
      <c r="R446">
        <f t="shared" si="20"/>
        <v>0</v>
      </c>
    </row>
    <row r="447" spans="15:18" x14ac:dyDescent="0.2">
      <c r="O447">
        <v>444</v>
      </c>
      <c r="P447">
        <f t="shared" si="18"/>
        <v>0</v>
      </c>
      <c r="Q447">
        <f t="shared" si="19"/>
        <v>0</v>
      </c>
      <c r="R447">
        <f t="shared" si="20"/>
        <v>0</v>
      </c>
    </row>
    <row r="448" spans="15:18" x14ac:dyDescent="0.2">
      <c r="O448">
        <v>445</v>
      </c>
      <c r="P448">
        <f t="shared" si="18"/>
        <v>0</v>
      </c>
      <c r="Q448">
        <f t="shared" si="19"/>
        <v>0</v>
      </c>
      <c r="R448">
        <f t="shared" si="20"/>
        <v>0</v>
      </c>
    </row>
    <row r="449" spans="15:18" x14ac:dyDescent="0.2">
      <c r="O449">
        <v>446</v>
      </c>
      <c r="P449">
        <f t="shared" si="18"/>
        <v>0</v>
      </c>
      <c r="Q449">
        <f t="shared" si="19"/>
        <v>0</v>
      </c>
      <c r="R449">
        <f t="shared" si="20"/>
        <v>0</v>
      </c>
    </row>
    <row r="450" spans="15:18" x14ac:dyDescent="0.2">
      <c r="O450">
        <v>447</v>
      </c>
      <c r="P450">
        <f t="shared" si="18"/>
        <v>0</v>
      </c>
      <c r="Q450">
        <f t="shared" si="19"/>
        <v>0</v>
      </c>
      <c r="R450">
        <f t="shared" si="20"/>
        <v>0</v>
      </c>
    </row>
    <row r="451" spans="15:18" x14ac:dyDescent="0.2">
      <c r="O451">
        <v>448</v>
      </c>
      <c r="P451">
        <f t="shared" si="18"/>
        <v>0</v>
      </c>
      <c r="Q451">
        <f t="shared" si="19"/>
        <v>0</v>
      </c>
      <c r="R451">
        <f t="shared" si="20"/>
        <v>0</v>
      </c>
    </row>
    <row r="452" spans="15:18" x14ac:dyDescent="0.2">
      <c r="O452">
        <v>449</v>
      </c>
      <c r="P452">
        <f t="shared" si="18"/>
        <v>0</v>
      </c>
      <c r="Q452">
        <f t="shared" si="19"/>
        <v>0</v>
      </c>
      <c r="R452">
        <f t="shared" si="20"/>
        <v>0</v>
      </c>
    </row>
    <row r="453" spans="15:18" x14ac:dyDescent="0.2">
      <c r="O453">
        <v>450</v>
      </c>
      <c r="P453">
        <f t="shared" ref="P453:P516" si="21">IF($O453&lt;=$B$6/2, SQRT($B$3*($O453-$O452))+P452, IF((P452-SQRT($B$3*($O453-$O452)))&lt;0, 0, P452-SQRT($B$3*($O453-$O452))))</f>
        <v>0</v>
      </c>
      <c r="Q453">
        <f t="shared" ref="Q453:Q516" si="22">IF($O453&lt;=$B$6/2, SQRT($B$4*($O453-$O452))+Q452, IF((Q452-SQRT($B$4*($O453-$O452)))&lt;0, 0, Q452-SQRT($B$4*($O453-$O452))))</f>
        <v>0</v>
      </c>
      <c r="R453">
        <f t="shared" ref="R453:R516" si="23">IF($O453&lt;=$B$6/2, SQRT($B$5*($O453-$O452))+R452, IF((R452-SQRT($B$5*($O453-$O452)))&lt;0, 0, R452-SQRT($B$5*($O453-$O452))))</f>
        <v>0</v>
      </c>
    </row>
    <row r="454" spans="15:18" x14ac:dyDescent="0.2">
      <c r="O454">
        <v>451</v>
      </c>
      <c r="P454">
        <f t="shared" si="21"/>
        <v>0</v>
      </c>
      <c r="Q454">
        <f t="shared" si="22"/>
        <v>0</v>
      </c>
      <c r="R454">
        <f t="shared" si="23"/>
        <v>0</v>
      </c>
    </row>
    <row r="455" spans="15:18" x14ac:dyDescent="0.2">
      <c r="O455">
        <v>452</v>
      </c>
      <c r="P455">
        <f t="shared" si="21"/>
        <v>0</v>
      </c>
      <c r="Q455">
        <f t="shared" si="22"/>
        <v>0</v>
      </c>
      <c r="R455">
        <f t="shared" si="23"/>
        <v>0</v>
      </c>
    </row>
    <row r="456" spans="15:18" x14ac:dyDescent="0.2">
      <c r="O456">
        <v>453</v>
      </c>
      <c r="P456">
        <f t="shared" si="21"/>
        <v>0</v>
      </c>
      <c r="Q456">
        <f t="shared" si="22"/>
        <v>0</v>
      </c>
      <c r="R456">
        <f t="shared" si="23"/>
        <v>0</v>
      </c>
    </row>
    <row r="457" spans="15:18" x14ac:dyDescent="0.2">
      <c r="O457">
        <v>454</v>
      </c>
      <c r="P457">
        <f t="shared" si="21"/>
        <v>0</v>
      </c>
      <c r="Q457">
        <f t="shared" si="22"/>
        <v>0</v>
      </c>
      <c r="R457">
        <f t="shared" si="23"/>
        <v>0</v>
      </c>
    </row>
    <row r="458" spans="15:18" x14ac:dyDescent="0.2">
      <c r="O458">
        <v>455</v>
      </c>
      <c r="P458">
        <f t="shared" si="21"/>
        <v>0</v>
      </c>
      <c r="Q458">
        <f t="shared" si="22"/>
        <v>0</v>
      </c>
      <c r="R458">
        <f t="shared" si="23"/>
        <v>0</v>
      </c>
    </row>
    <row r="459" spans="15:18" x14ac:dyDescent="0.2">
      <c r="O459">
        <v>456</v>
      </c>
      <c r="P459">
        <f t="shared" si="21"/>
        <v>0</v>
      </c>
      <c r="Q459">
        <f t="shared" si="22"/>
        <v>0</v>
      </c>
      <c r="R459">
        <f t="shared" si="23"/>
        <v>0</v>
      </c>
    </row>
    <row r="460" spans="15:18" x14ac:dyDescent="0.2">
      <c r="O460">
        <v>457</v>
      </c>
      <c r="P460">
        <f t="shared" si="21"/>
        <v>0</v>
      </c>
      <c r="Q460">
        <f t="shared" si="22"/>
        <v>0</v>
      </c>
      <c r="R460">
        <f t="shared" si="23"/>
        <v>0</v>
      </c>
    </row>
    <row r="461" spans="15:18" x14ac:dyDescent="0.2">
      <c r="O461">
        <v>458</v>
      </c>
      <c r="P461">
        <f t="shared" si="21"/>
        <v>0</v>
      </c>
      <c r="Q461">
        <f t="shared" si="22"/>
        <v>0</v>
      </c>
      <c r="R461">
        <f t="shared" si="23"/>
        <v>0</v>
      </c>
    </row>
    <row r="462" spans="15:18" x14ac:dyDescent="0.2">
      <c r="O462">
        <v>459</v>
      </c>
      <c r="P462">
        <f t="shared" si="21"/>
        <v>0</v>
      </c>
      <c r="Q462">
        <f t="shared" si="22"/>
        <v>0</v>
      </c>
      <c r="R462">
        <f t="shared" si="23"/>
        <v>0</v>
      </c>
    </row>
    <row r="463" spans="15:18" x14ac:dyDescent="0.2">
      <c r="O463">
        <v>460</v>
      </c>
      <c r="P463">
        <f t="shared" si="21"/>
        <v>0</v>
      </c>
      <c r="Q463">
        <f t="shared" si="22"/>
        <v>0</v>
      </c>
      <c r="R463">
        <f t="shared" si="23"/>
        <v>0</v>
      </c>
    </row>
    <row r="464" spans="15:18" x14ac:dyDescent="0.2">
      <c r="O464">
        <v>461</v>
      </c>
      <c r="P464">
        <f t="shared" si="21"/>
        <v>0</v>
      </c>
      <c r="Q464">
        <f t="shared" si="22"/>
        <v>0</v>
      </c>
      <c r="R464">
        <f t="shared" si="23"/>
        <v>0</v>
      </c>
    </row>
    <row r="465" spans="15:18" x14ac:dyDescent="0.2">
      <c r="O465">
        <v>462</v>
      </c>
      <c r="P465">
        <f t="shared" si="21"/>
        <v>0</v>
      </c>
      <c r="Q465">
        <f t="shared" si="22"/>
        <v>0</v>
      </c>
      <c r="R465">
        <f t="shared" si="23"/>
        <v>0</v>
      </c>
    </row>
    <row r="466" spans="15:18" x14ac:dyDescent="0.2">
      <c r="O466">
        <v>463</v>
      </c>
      <c r="P466">
        <f t="shared" si="21"/>
        <v>0</v>
      </c>
      <c r="Q466">
        <f t="shared" si="22"/>
        <v>0</v>
      </c>
      <c r="R466">
        <f t="shared" si="23"/>
        <v>0</v>
      </c>
    </row>
    <row r="467" spans="15:18" x14ac:dyDescent="0.2">
      <c r="O467">
        <v>464</v>
      </c>
      <c r="P467">
        <f t="shared" si="21"/>
        <v>0</v>
      </c>
      <c r="Q467">
        <f t="shared" si="22"/>
        <v>0</v>
      </c>
      <c r="R467">
        <f t="shared" si="23"/>
        <v>0</v>
      </c>
    </row>
    <row r="468" spans="15:18" x14ac:dyDescent="0.2">
      <c r="O468">
        <v>465</v>
      </c>
      <c r="P468">
        <f t="shared" si="21"/>
        <v>0</v>
      </c>
      <c r="Q468">
        <f t="shared" si="22"/>
        <v>0</v>
      </c>
      <c r="R468">
        <f t="shared" si="23"/>
        <v>0</v>
      </c>
    </row>
    <row r="469" spans="15:18" x14ac:dyDescent="0.2">
      <c r="O469">
        <v>466</v>
      </c>
      <c r="P469">
        <f t="shared" si="21"/>
        <v>0</v>
      </c>
      <c r="Q469">
        <f t="shared" si="22"/>
        <v>0</v>
      </c>
      <c r="R469">
        <f t="shared" si="23"/>
        <v>0</v>
      </c>
    </row>
    <row r="470" spans="15:18" x14ac:dyDescent="0.2">
      <c r="O470">
        <v>467</v>
      </c>
      <c r="P470">
        <f t="shared" si="21"/>
        <v>0</v>
      </c>
      <c r="Q470">
        <f t="shared" si="22"/>
        <v>0</v>
      </c>
      <c r="R470">
        <f t="shared" si="23"/>
        <v>0</v>
      </c>
    </row>
    <row r="471" spans="15:18" x14ac:dyDescent="0.2">
      <c r="O471">
        <v>468</v>
      </c>
      <c r="P471">
        <f t="shared" si="21"/>
        <v>0</v>
      </c>
      <c r="Q471">
        <f t="shared" si="22"/>
        <v>0</v>
      </c>
      <c r="R471">
        <f t="shared" si="23"/>
        <v>0</v>
      </c>
    </row>
    <row r="472" spans="15:18" x14ac:dyDescent="0.2">
      <c r="O472">
        <v>469</v>
      </c>
      <c r="P472">
        <f t="shared" si="21"/>
        <v>0</v>
      </c>
      <c r="Q472">
        <f t="shared" si="22"/>
        <v>0</v>
      </c>
      <c r="R472">
        <f t="shared" si="23"/>
        <v>0</v>
      </c>
    </row>
    <row r="473" spans="15:18" x14ac:dyDescent="0.2">
      <c r="O473">
        <v>470</v>
      </c>
      <c r="P473">
        <f t="shared" si="21"/>
        <v>0</v>
      </c>
      <c r="Q473">
        <f t="shared" si="22"/>
        <v>0</v>
      </c>
      <c r="R473">
        <f t="shared" si="23"/>
        <v>0</v>
      </c>
    </row>
    <row r="474" spans="15:18" x14ac:dyDescent="0.2">
      <c r="O474">
        <v>471</v>
      </c>
      <c r="P474">
        <f t="shared" si="21"/>
        <v>0</v>
      </c>
      <c r="Q474">
        <f t="shared" si="22"/>
        <v>0</v>
      </c>
      <c r="R474">
        <f t="shared" si="23"/>
        <v>0</v>
      </c>
    </row>
    <row r="475" spans="15:18" x14ac:dyDescent="0.2">
      <c r="O475">
        <v>472</v>
      </c>
      <c r="P475">
        <f t="shared" si="21"/>
        <v>0</v>
      </c>
      <c r="Q475">
        <f t="shared" si="22"/>
        <v>0</v>
      </c>
      <c r="R475">
        <f t="shared" si="23"/>
        <v>0</v>
      </c>
    </row>
    <row r="476" spans="15:18" x14ac:dyDescent="0.2">
      <c r="O476">
        <v>473</v>
      </c>
      <c r="P476">
        <f t="shared" si="21"/>
        <v>0</v>
      </c>
      <c r="Q476">
        <f t="shared" si="22"/>
        <v>0</v>
      </c>
      <c r="R476">
        <f t="shared" si="23"/>
        <v>0</v>
      </c>
    </row>
    <row r="477" spans="15:18" x14ac:dyDescent="0.2">
      <c r="O477">
        <v>474</v>
      </c>
      <c r="P477">
        <f t="shared" si="21"/>
        <v>0</v>
      </c>
      <c r="Q477">
        <f t="shared" si="22"/>
        <v>0</v>
      </c>
      <c r="R477">
        <f t="shared" si="23"/>
        <v>0</v>
      </c>
    </row>
    <row r="478" spans="15:18" x14ac:dyDescent="0.2">
      <c r="O478">
        <v>475</v>
      </c>
      <c r="P478">
        <f t="shared" si="21"/>
        <v>0</v>
      </c>
      <c r="Q478">
        <f t="shared" si="22"/>
        <v>0</v>
      </c>
      <c r="R478">
        <f t="shared" si="23"/>
        <v>0</v>
      </c>
    </row>
    <row r="479" spans="15:18" x14ac:dyDescent="0.2">
      <c r="O479">
        <v>476</v>
      </c>
      <c r="P479">
        <f t="shared" si="21"/>
        <v>0</v>
      </c>
      <c r="Q479">
        <f t="shared" si="22"/>
        <v>0</v>
      </c>
      <c r="R479">
        <f t="shared" si="23"/>
        <v>0</v>
      </c>
    </row>
    <row r="480" spans="15:18" x14ac:dyDescent="0.2">
      <c r="O480">
        <v>477</v>
      </c>
      <c r="P480">
        <f t="shared" si="21"/>
        <v>0</v>
      </c>
      <c r="Q480">
        <f t="shared" si="22"/>
        <v>0</v>
      </c>
      <c r="R480">
        <f t="shared" si="23"/>
        <v>0</v>
      </c>
    </row>
    <row r="481" spans="15:18" x14ac:dyDescent="0.2">
      <c r="O481">
        <v>478</v>
      </c>
      <c r="P481">
        <f t="shared" si="21"/>
        <v>0</v>
      </c>
      <c r="Q481">
        <f t="shared" si="22"/>
        <v>0</v>
      </c>
      <c r="R481">
        <f t="shared" si="23"/>
        <v>0</v>
      </c>
    </row>
    <row r="482" spans="15:18" x14ac:dyDescent="0.2">
      <c r="O482">
        <v>479</v>
      </c>
      <c r="P482">
        <f t="shared" si="21"/>
        <v>0</v>
      </c>
      <c r="Q482">
        <f t="shared" si="22"/>
        <v>0</v>
      </c>
      <c r="R482">
        <f t="shared" si="23"/>
        <v>0</v>
      </c>
    </row>
    <row r="483" spans="15:18" x14ac:dyDescent="0.2">
      <c r="O483">
        <v>480</v>
      </c>
      <c r="P483">
        <f t="shared" si="21"/>
        <v>0</v>
      </c>
      <c r="Q483">
        <f t="shared" si="22"/>
        <v>0</v>
      </c>
      <c r="R483">
        <f t="shared" si="23"/>
        <v>0</v>
      </c>
    </row>
    <row r="484" spans="15:18" x14ac:dyDescent="0.2">
      <c r="O484">
        <v>481</v>
      </c>
      <c r="P484">
        <f t="shared" si="21"/>
        <v>0</v>
      </c>
      <c r="Q484">
        <f t="shared" si="22"/>
        <v>0</v>
      </c>
      <c r="R484">
        <f t="shared" si="23"/>
        <v>0</v>
      </c>
    </row>
    <row r="485" spans="15:18" x14ac:dyDescent="0.2">
      <c r="O485">
        <v>482</v>
      </c>
      <c r="P485">
        <f t="shared" si="21"/>
        <v>0</v>
      </c>
      <c r="Q485">
        <f t="shared" si="22"/>
        <v>0</v>
      </c>
      <c r="R485">
        <f t="shared" si="23"/>
        <v>0</v>
      </c>
    </row>
    <row r="486" spans="15:18" x14ac:dyDescent="0.2">
      <c r="O486">
        <v>483</v>
      </c>
      <c r="P486">
        <f t="shared" si="21"/>
        <v>0</v>
      </c>
      <c r="Q486">
        <f t="shared" si="22"/>
        <v>0</v>
      </c>
      <c r="R486">
        <f t="shared" si="23"/>
        <v>0</v>
      </c>
    </row>
    <row r="487" spans="15:18" x14ac:dyDescent="0.2">
      <c r="O487">
        <v>484</v>
      </c>
      <c r="P487">
        <f t="shared" si="21"/>
        <v>0</v>
      </c>
      <c r="Q487">
        <f t="shared" si="22"/>
        <v>0</v>
      </c>
      <c r="R487">
        <f t="shared" si="23"/>
        <v>0</v>
      </c>
    </row>
    <row r="488" spans="15:18" x14ac:dyDescent="0.2">
      <c r="O488">
        <v>485</v>
      </c>
      <c r="P488">
        <f t="shared" si="21"/>
        <v>0</v>
      </c>
      <c r="Q488">
        <f t="shared" si="22"/>
        <v>0</v>
      </c>
      <c r="R488">
        <f t="shared" si="23"/>
        <v>0</v>
      </c>
    </row>
    <row r="489" spans="15:18" x14ac:dyDescent="0.2">
      <c r="O489">
        <v>486</v>
      </c>
      <c r="P489">
        <f t="shared" si="21"/>
        <v>0</v>
      </c>
      <c r="Q489">
        <f t="shared" si="22"/>
        <v>0</v>
      </c>
      <c r="R489">
        <f t="shared" si="23"/>
        <v>0</v>
      </c>
    </row>
    <row r="490" spans="15:18" x14ac:dyDescent="0.2">
      <c r="O490">
        <v>487</v>
      </c>
      <c r="P490">
        <f t="shared" si="21"/>
        <v>0</v>
      </c>
      <c r="Q490">
        <f t="shared" si="22"/>
        <v>0</v>
      </c>
      <c r="R490">
        <f t="shared" si="23"/>
        <v>0</v>
      </c>
    </row>
    <row r="491" spans="15:18" x14ac:dyDescent="0.2">
      <c r="O491">
        <v>488</v>
      </c>
      <c r="P491">
        <f t="shared" si="21"/>
        <v>0</v>
      </c>
      <c r="Q491">
        <f t="shared" si="22"/>
        <v>0</v>
      </c>
      <c r="R491">
        <f t="shared" si="23"/>
        <v>0</v>
      </c>
    </row>
    <row r="492" spans="15:18" x14ac:dyDescent="0.2">
      <c r="O492">
        <v>489</v>
      </c>
      <c r="P492">
        <f t="shared" si="21"/>
        <v>0</v>
      </c>
      <c r="Q492">
        <f t="shared" si="22"/>
        <v>0</v>
      </c>
      <c r="R492">
        <f t="shared" si="23"/>
        <v>0</v>
      </c>
    </row>
    <row r="493" spans="15:18" x14ac:dyDescent="0.2">
      <c r="O493">
        <v>490</v>
      </c>
      <c r="P493">
        <f t="shared" si="21"/>
        <v>0</v>
      </c>
      <c r="Q493">
        <f t="shared" si="22"/>
        <v>0</v>
      </c>
      <c r="R493">
        <f t="shared" si="23"/>
        <v>0</v>
      </c>
    </row>
    <row r="494" spans="15:18" x14ac:dyDescent="0.2">
      <c r="O494">
        <v>491</v>
      </c>
      <c r="P494">
        <f t="shared" si="21"/>
        <v>0</v>
      </c>
      <c r="Q494">
        <f t="shared" si="22"/>
        <v>0</v>
      </c>
      <c r="R494">
        <f t="shared" si="23"/>
        <v>0</v>
      </c>
    </row>
    <row r="495" spans="15:18" x14ac:dyDescent="0.2">
      <c r="O495">
        <v>492</v>
      </c>
      <c r="P495">
        <f t="shared" si="21"/>
        <v>0</v>
      </c>
      <c r="Q495">
        <f t="shared" si="22"/>
        <v>0</v>
      </c>
      <c r="R495">
        <f t="shared" si="23"/>
        <v>0</v>
      </c>
    </row>
    <row r="496" spans="15:18" x14ac:dyDescent="0.2">
      <c r="O496">
        <v>493</v>
      </c>
      <c r="P496">
        <f t="shared" si="21"/>
        <v>0</v>
      </c>
      <c r="Q496">
        <f t="shared" si="22"/>
        <v>0</v>
      </c>
      <c r="R496">
        <f t="shared" si="23"/>
        <v>0</v>
      </c>
    </row>
    <row r="497" spans="15:18" x14ac:dyDescent="0.2">
      <c r="O497">
        <v>494</v>
      </c>
      <c r="P497">
        <f t="shared" si="21"/>
        <v>0</v>
      </c>
      <c r="Q497">
        <f t="shared" si="22"/>
        <v>0</v>
      </c>
      <c r="R497">
        <f t="shared" si="23"/>
        <v>0</v>
      </c>
    </row>
    <row r="498" spans="15:18" x14ac:dyDescent="0.2">
      <c r="O498">
        <v>495</v>
      </c>
      <c r="P498">
        <f t="shared" si="21"/>
        <v>0</v>
      </c>
      <c r="Q498">
        <f t="shared" si="22"/>
        <v>0</v>
      </c>
      <c r="R498">
        <f t="shared" si="23"/>
        <v>0</v>
      </c>
    </row>
    <row r="499" spans="15:18" x14ac:dyDescent="0.2">
      <c r="O499">
        <v>496</v>
      </c>
      <c r="P499">
        <f t="shared" si="21"/>
        <v>0</v>
      </c>
      <c r="Q499">
        <f t="shared" si="22"/>
        <v>0</v>
      </c>
      <c r="R499">
        <f t="shared" si="23"/>
        <v>0</v>
      </c>
    </row>
    <row r="500" spans="15:18" x14ac:dyDescent="0.2">
      <c r="O500">
        <v>497</v>
      </c>
      <c r="P500">
        <f t="shared" si="21"/>
        <v>0</v>
      </c>
      <c r="Q500">
        <f t="shared" si="22"/>
        <v>0</v>
      </c>
      <c r="R500">
        <f t="shared" si="23"/>
        <v>0</v>
      </c>
    </row>
    <row r="501" spans="15:18" x14ac:dyDescent="0.2">
      <c r="O501">
        <v>498</v>
      </c>
      <c r="P501">
        <f t="shared" si="21"/>
        <v>0</v>
      </c>
      <c r="Q501">
        <f t="shared" si="22"/>
        <v>0</v>
      </c>
      <c r="R501">
        <f t="shared" si="23"/>
        <v>0</v>
      </c>
    </row>
    <row r="502" spans="15:18" x14ac:dyDescent="0.2">
      <c r="O502">
        <v>499</v>
      </c>
      <c r="P502">
        <f t="shared" si="21"/>
        <v>0</v>
      </c>
      <c r="Q502">
        <f t="shared" si="22"/>
        <v>0</v>
      </c>
      <c r="R502">
        <f t="shared" si="23"/>
        <v>0</v>
      </c>
    </row>
    <row r="503" spans="15:18" x14ac:dyDescent="0.2">
      <c r="O503">
        <v>500</v>
      </c>
      <c r="P503">
        <f t="shared" si="21"/>
        <v>0</v>
      </c>
      <c r="Q503">
        <f t="shared" si="22"/>
        <v>0</v>
      </c>
      <c r="R503">
        <f t="shared" si="23"/>
        <v>0</v>
      </c>
    </row>
    <row r="504" spans="15:18" x14ac:dyDescent="0.2">
      <c r="O504">
        <v>501</v>
      </c>
      <c r="P504">
        <f t="shared" si="21"/>
        <v>0</v>
      </c>
      <c r="Q504">
        <f t="shared" si="22"/>
        <v>0</v>
      </c>
      <c r="R504">
        <f t="shared" si="23"/>
        <v>0</v>
      </c>
    </row>
    <row r="505" spans="15:18" x14ac:dyDescent="0.2">
      <c r="O505">
        <v>502</v>
      </c>
      <c r="P505">
        <f t="shared" si="21"/>
        <v>0</v>
      </c>
      <c r="Q505">
        <f t="shared" si="22"/>
        <v>0</v>
      </c>
      <c r="R505">
        <f t="shared" si="23"/>
        <v>0</v>
      </c>
    </row>
    <row r="506" spans="15:18" x14ac:dyDescent="0.2">
      <c r="O506">
        <v>503</v>
      </c>
      <c r="P506">
        <f t="shared" si="21"/>
        <v>0</v>
      </c>
      <c r="Q506">
        <f t="shared" si="22"/>
        <v>0</v>
      </c>
      <c r="R506">
        <f t="shared" si="23"/>
        <v>0</v>
      </c>
    </row>
    <row r="507" spans="15:18" x14ac:dyDescent="0.2">
      <c r="O507">
        <v>504</v>
      </c>
      <c r="P507">
        <f t="shared" si="21"/>
        <v>0</v>
      </c>
      <c r="Q507">
        <f t="shared" si="22"/>
        <v>0</v>
      </c>
      <c r="R507">
        <f t="shared" si="23"/>
        <v>0</v>
      </c>
    </row>
    <row r="508" spans="15:18" x14ac:dyDescent="0.2">
      <c r="O508">
        <v>505</v>
      </c>
      <c r="P508">
        <f t="shared" si="21"/>
        <v>0</v>
      </c>
      <c r="Q508">
        <f t="shared" si="22"/>
        <v>0</v>
      </c>
      <c r="R508">
        <f t="shared" si="23"/>
        <v>0</v>
      </c>
    </row>
    <row r="509" spans="15:18" x14ac:dyDescent="0.2">
      <c r="O509">
        <v>506</v>
      </c>
      <c r="P509">
        <f t="shared" si="21"/>
        <v>0</v>
      </c>
      <c r="Q509">
        <f t="shared" si="22"/>
        <v>0</v>
      </c>
      <c r="R509">
        <f t="shared" si="23"/>
        <v>0</v>
      </c>
    </row>
    <row r="510" spans="15:18" x14ac:dyDescent="0.2">
      <c r="O510">
        <v>507</v>
      </c>
      <c r="P510">
        <f t="shared" si="21"/>
        <v>0</v>
      </c>
      <c r="Q510">
        <f t="shared" si="22"/>
        <v>0</v>
      </c>
      <c r="R510">
        <f t="shared" si="23"/>
        <v>0</v>
      </c>
    </row>
    <row r="511" spans="15:18" x14ac:dyDescent="0.2">
      <c r="O511">
        <v>508</v>
      </c>
      <c r="P511">
        <f t="shared" si="21"/>
        <v>0</v>
      </c>
      <c r="Q511">
        <f t="shared" si="22"/>
        <v>0</v>
      </c>
      <c r="R511">
        <f t="shared" si="23"/>
        <v>0</v>
      </c>
    </row>
    <row r="512" spans="15:18" x14ac:dyDescent="0.2">
      <c r="O512">
        <v>509</v>
      </c>
      <c r="P512">
        <f t="shared" si="21"/>
        <v>0</v>
      </c>
      <c r="Q512">
        <f t="shared" si="22"/>
        <v>0</v>
      </c>
      <c r="R512">
        <f t="shared" si="23"/>
        <v>0</v>
      </c>
    </row>
    <row r="513" spans="15:18" x14ac:dyDescent="0.2">
      <c r="O513">
        <v>510</v>
      </c>
      <c r="P513">
        <f t="shared" si="21"/>
        <v>0</v>
      </c>
      <c r="Q513">
        <f t="shared" si="22"/>
        <v>0</v>
      </c>
      <c r="R513">
        <f t="shared" si="23"/>
        <v>0</v>
      </c>
    </row>
    <row r="514" spans="15:18" x14ac:dyDescent="0.2">
      <c r="O514">
        <v>511</v>
      </c>
      <c r="P514">
        <f t="shared" si="21"/>
        <v>0</v>
      </c>
      <c r="Q514">
        <f t="shared" si="22"/>
        <v>0</v>
      </c>
      <c r="R514">
        <f t="shared" si="23"/>
        <v>0</v>
      </c>
    </row>
    <row r="515" spans="15:18" x14ac:dyDescent="0.2">
      <c r="O515">
        <v>512</v>
      </c>
      <c r="P515">
        <f t="shared" si="21"/>
        <v>0</v>
      </c>
      <c r="Q515">
        <f t="shared" si="22"/>
        <v>0</v>
      </c>
      <c r="R515">
        <f t="shared" si="23"/>
        <v>0</v>
      </c>
    </row>
    <row r="516" spans="15:18" x14ac:dyDescent="0.2">
      <c r="O516">
        <v>513</v>
      </c>
      <c r="P516">
        <f t="shared" si="21"/>
        <v>0</v>
      </c>
      <c r="Q516">
        <f t="shared" si="22"/>
        <v>0</v>
      </c>
      <c r="R516">
        <f t="shared" si="23"/>
        <v>0</v>
      </c>
    </row>
    <row r="517" spans="15:18" x14ac:dyDescent="0.2">
      <c r="O517">
        <v>514</v>
      </c>
      <c r="P517">
        <f t="shared" ref="P517:P523" si="24">IF($O517&lt;=$B$6/2, SQRT($B$3*($O517-$O516))+P516, IF((P516-SQRT($B$3*($O517-$O516)))&lt;0, 0, P516-SQRT($B$3*($O517-$O516))))</f>
        <v>0</v>
      </c>
      <c r="Q517">
        <f t="shared" ref="Q517:Q523" si="25">IF($O517&lt;=$B$6/2, SQRT($B$4*($O517-$O516))+Q516, IF((Q516-SQRT($B$4*($O517-$O516)))&lt;0, 0, Q516-SQRT($B$4*($O517-$O516))))</f>
        <v>0</v>
      </c>
      <c r="R517">
        <f t="shared" ref="R517:R523" si="26">IF($O517&lt;=$B$6/2, SQRT($B$5*($O517-$O516))+R516, IF((R516-SQRT($B$5*($O517-$O516)))&lt;0, 0, R516-SQRT($B$5*($O517-$O516))))</f>
        <v>0</v>
      </c>
    </row>
    <row r="518" spans="15:18" x14ac:dyDescent="0.2">
      <c r="O518">
        <v>515</v>
      </c>
      <c r="P518">
        <f t="shared" si="24"/>
        <v>0</v>
      </c>
      <c r="Q518">
        <f t="shared" si="25"/>
        <v>0</v>
      </c>
      <c r="R518">
        <f t="shared" si="26"/>
        <v>0</v>
      </c>
    </row>
    <row r="519" spans="15:18" x14ac:dyDescent="0.2">
      <c r="O519">
        <v>516</v>
      </c>
      <c r="P519">
        <f t="shared" si="24"/>
        <v>0</v>
      </c>
      <c r="Q519">
        <f t="shared" si="25"/>
        <v>0</v>
      </c>
      <c r="R519">
        <f t="shared" si="26"/>
        <v>0</v>
      </c>
    </row>
    <row r="520" spans="15:18" x14ac:dyDescent="0.2">
      <c r="O520">
        <v>517</v>
      </c>
      <c r="P520">
        <f t="shared" si="24"/>
        <v>0</v>
      </c>
      <c r="Q520">
        <f t="shared" si="25"/>
        <v>0</v>
      </c>
      <c r="R520">
        <f t="shared" si="26"/>
        <v>0</v>
      </c>
    </row>
    <row r="521" spans="15:18" x14ac:dyDescent="0.2">
      <c r="O521">
        <v>518</v>
      </c>
      <c r="P521">
        <f t="shared" si="24"/>
        <v>0</v>
      </c>
      <c r="Q521">
        <f t="shared" si="25"/>
        <v>0</v>
      </c>
      <c r="R521">
        <f t="shared" si="26"/>
        <v>0</v>
      </c>
    </row>
    <row r="522" spans="15:18" x14ac:dyDescent="0.2">
      <c r="O522">
        <v>519</v>
      </c>
      <c r="P522">
        <f t="shared" si="24"/>
        <v>0</v>
      </c>
      <c r="Q522">
        <f t="shared" si="25"/>
        <v>0</v>
      </c>
      <c r="R522">
        <f t="shared" si="26"/>
        <v>0</v>
      </c>
    </row>
    <row r="523" spans="15:18" x14ac:dyDescent="0.2">
      <c r="O523">
        <v>520</v>
      </c>
      <c r="P523">
        <f t="shared" si="24"/>
        <v>0</v>
      </c>
      <c r="Q523">
        <f t="shared" si="25"/>
        <v>0</v>
      </c>
      <c r="R523">
        <f t="shared" si="26"/>
        <v>0</v>
      </c>
    </row>
  </sheetData>
  <phoneticPr fontId="9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B67CA-0BBF-4A41-8837-1CB327292278}">
  <dimension ref="A1"/>
  <sheetViews>
    <sheetView workbookViewId="0">
      <selection activeCell="D56" sqref="D56"/>
    </sheetView>
  </sheetViews>
  <sheetFormatPr defaultRowHeight="14.25" x14ac:dyDescent="0.2"/>
  <sheetData/>
  <phoneticPr fontId="9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4</vt:i4>
      </vt:variant>
    </vt:vector>
  </HeadingPairs>
  <TitlesOfParts>
    <vt:vector size="11" baseType="lpstr">
      <vt:lpstr>Gantry UI</vt:lpstr>
      <vt:lpstr>Motor Database</vt:lpstr>
      <vt:lpstr>Calculation Reference</vt:lpstr>
      <vt:lpstr>Motor Example Chart</vt:lpstr>
      <vt:lpstr>Flow Calculator</vt:lpstr>
      <vt:lpstr>Acc Calculator</vt:lpstr>
      <vt:lpstr>Acc and Deacc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Ji, Jerry</cp:lastModifiedBy>
  <cp:revision/>
  <dcterms:created xsi:type="dcterms:W3CDTF">2020-01-03T20:05:09Z</dcterms:created>
  <dcterms:modified xsi:type="dcterms:W3CDTF">2023-12-04T09:38:20Z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215d82-5bf5-4d07-af41-65de05a9c87a_Enabled">
    <vt:lpwstr>true</vt:lpwstr>
  </property>
  <property fmtid="{D5CDD505-2E9C-101B-9397-08002B2CF9AE}" pid="3" name="MSIP_Label_9c215d82-5bf5-4d07-af41-65de05a9c87a_SetDate">
    <vt:lpwstr>2023-11-27T12:37:00Z</vt:lpwstr>
  </property>
  <property fmtid="{D5CDD505-2E9C-101B-9397-08002B2CF9AE}" pid="4" name="MSIP_Label_9c215d82-5bf5-4d07-af41-65de05a9c87a_Method">
    <vt:lpwstr>Standard</vt:lpwstr>
  </property>
  <property fmtid="{D5CDD505-2E9C-101B-9397-08002B2CF9AE}" pid="5" name="MSIP_Label_9c215d82-5bf5-4d07-af41-65de05a9c87a_Name">
    <vt:lpwstr>Amber</vt:lpwstr>
  </property>
  <property fmtid="{D5CDD505-2E9C-101B-9397-08002B2CF9AE}" pid="6" name="MSIP_Label_9c215d82-5bf5-4d07-af41-65de05a9c87a_SiteId">
    <vt:lpwstr>f66b6bd3-ebc2-4f54-8769-d22858de97c5</vt:lpwstr>
  </property>
  <property fmtid="{D5CDD505-2E9C-101B-9397-08002B2CF9AE}" pid="7" name="MSIP_Label_9c215d82-5bf5-4d07-af41-65de05a9c87a_ActionId">
    <vt:lpwstr>116661ee-a12b-4226-9438-3b5640dae962</vt:lpwstr>
  </property>
  <property fmtid="{D5CDD505-2E9C-101B-9397-08002B2CF9AE}" pid="8" name="MSIP_Label_9c215d82-5bf5-4d07-af41-65de05a9c87a_ContentBits">
    <vt:lpwstr>0</vt:lpwstr>
  </property>
</Properties>
</file>